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of Contents" sheetId="1" state="visible" r:id="rId3"/>
    <sheet name="Table 1" sheetId="2" state="visible" r:id="rId4"/>
    <sheet name="Table 2" sheetId="3" state="visible" r:id="rId5"/>
    <sheet name="Table 3" sheetId="4" state="visible" r:id="rId6"/>
    <sheet name="Table 4" sheetId="5" state="visible" r:id="rId7"/>
    <sheet name="Table 5" sheetId="6" state="visible" r:id="rId8"/>
    <sheet name="Table 6" sheetId="7" state="visible" r:id="rId9"/>
    <sheet name="Table 7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未知作者</author>
  </authors>
  <commentList>
    <comment ref="D2" authorId="0">
      <text>
        <r>
          <rPr>
            <sz val="9"/>
            <color rgb="FF000000"/>
            <rFont val="Tahoma"/>
            <family val="2"/>
          </rPr>
          <t xml:space="preserve">4 = direct experimental evidence for gene product function and biochemical reaction
3 = physiological, genetic, or proteomic evidence
2 = genome annotation evidence for a gene product and its reaction(s)
1 = reflects that no evidence is available, but the reaction is required for modeling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145</xdr:colOff>
                <xdr:row>0</xdr:row>
                <xdr:rowOff>42</xdr:rowOff>
              </xdr:from>
              <xdr:to>
                <xdr:col>2</xdr:col>
                <xdr:colOff>-232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<sst xmlns="http://schemas.openxmlformats.org/spreadsheetml/2006/main" count="8835" uniqueCount="5929">
  <si>
    <t xml:space="preserve"> Tables</t>
  </si>
  <si>
    <t xml:space="preserve">Contents</t>
  </si>
  <si>
    <t xml:space="preserve">Supplementary Table 1</t>
  </si>
  <si>
    <r>
      <rPr>
        <sz val="11"/>
        <color rgb="FF000000"/>
        <rFont val="Arial"/>
        <family val="2"/>
      </rPr>
      <t xml:space="preserve">Table 1. All reactions in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</t>
    </r>
  </si>
  <si>
    <t xml:space="preserve">Supplementary Table 2</t>
  </si>
  <si>
    <t xml:space="preserve">Table 2. All Metabolites in iMC507</t>
  </si>
  <si>
    <t xml:space="preserve">Supplementary Table 3</t>
  </si>
  <si>
    <r>
      <rPr>
        <sz val="11"/>
        <color rgb="FF000000"/>
        <rFont val="Arial"/>
        <family val="2"/>
      </rPr>
      <t xml:space="preserve">Table 3. The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 biomass reactions</t>
    </r>
  </si>
  <si>
    <t xml:space="preserve">Supplementary Table 4</t>
  </si>
  <si>
    <t xml:space="preserve">Table 4. Biomass constituents determination</t>
  </si>
  <si>
    <t xml:space="preserve">Supplementary Table 5</t>
  </si>
  <si>
    <t xml:space="preserve">Table 5. Experimental growth data set used for Genetic Algorithm and Parameter estimation</t>
  </si>
  <si>
    <t xml:space="preserve">Supplementary Table 6</t>
  </si>
  <si>
    <t xml:space="preserve">Table 6. Subsytems gene-reaction association statistics </t>
  </si>
  <si>
    <t xml:space="preserve">Supplementary Table 7</t>
  </si>
  <si>
    <t xml:space="preserve">Table 7. Single, double and tripe knock-out and growth coupled design results  </t>
  </si>
  <si>
    <t xml:space="preserve">References</t>
  </si>
  <si>
    <r>
      <rPr>
        <sz val="10"/>
        <color rgb="FF333333"/>
        <rFont val="Arial"/>
        <family val="2"/>
      </rPr>
      <t xml:space="preserve">Sublette, K. L. (1988). Production of microbial biomass protein from autotrophic fermentation of hydrogen sulfide.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32</t>
    </r>
    <r>
      <rPr>
        <sz val="10"/>
        <color rgb="FF333333"/>
        <rFont val="Arial"/>
        <family val="2"/>
      </rPr>
      <t xml:space="preserve">(3), 408-409.</t>
    </r>
  </si>
  <si>
    <r>
      <rPr>
        <sz val="10"/>
        <color rgb="FF333333"/>
        <rFont val="Arial"/>
        <family val="2"/>
      </rPr>
      <t xml:space="preserve">Kuenen, J. G. (1979). Growth yields and “maintenance energy requirement” in Thiobacillus species under energy limitation.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122</t>
    </r>
    <r>
      <rPr>
        <sz val="10"/>
        <color rgb="FF333333"/>
        <rFont val="Arial"/>
        <family val="2"/>
      </rPr>
      <t xml:space="preserve">(2), 183-188.</t>
    </r>
  </si>
  <si>
    <r>
      <rPr>
        <sz val="10"/>
        <color rgb="FF333333"/>
        <rFont val="Arial"/>
        <family val="2"/>
      </rPr>
      <t xml:space="preserve">Feist, A. M., Henry, C. S., Reed, J. L., Krummenacker, M., Joyce, A. R., Karp, P. D., ... &amp; Palsson, B. Ø. (2007). A genome‐scale metabolic reconstruction for Escherichia coli K‐12 MG1655 that accounts for 1260 ORFs and thermodynamic information.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</si>
  <si>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Kim, T. Y., Kim, H. U., Park, J. M., Song, H., Kim, J. S., &amp; Lee, S. Y. (2007). Genome‐scale analysis of Mannheimia succiniciproducens metabolism.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97</t>
    </r>
    <r>
      <rPr>
        <sz val="10"/>
        <color rgb="FF333333"/>
        <rFont val="Arial"/>
        <family val="2"/>
      </rPr>
      <t xml:space="preserve">(4), 657-671.</t>
    </r>
  </si>
  <si>
    <r>
      <rPr>
        <sz val="10"/>
        <color rgb="FF333333"/>
        <rFont val="Arial"/>
        <family val="2"/>
      </rPr>
      <t xml:space="preserve">AbuOun, M., Suthers, P. F., Jones, G. I., Carter, B. R., Saunders, M. P., Maranas, C. D., ... &amp; Anjum, M. F. (2009). Genome Scale Reconstruction of a Salmonella Metabolic Model COMPARISON OF SIMILARITY AND DIFFERENCES WITH A COMMENSAL Escherichia coli STRAIN. </t>
    </r>
    <r>
      <rPr>
        <i val="true"/>
        <sz val="10"/>
        <color rgb="FF333333"/>
        <rFont val="Arial"/>
        <family val="2"/>
      </rPr>
      <t xml:space="preserve">Journal of Biological Chemistry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284</t>
    </r>
    <r>
      <rPr>
        <sz val="10"/>
        <color rgb="FF333333"/>
        <rFont val="Arial"/>
        <family val="2"/>
      </rPr>
      <t xml:space="preserve">(43), 29480-29488.</t>
    </r>
  </si>
  <si>
    <r>
      <rPr>
        <sz val="10"/>
        <color rgb="FF333333"/>
        <rFont val="Arial"/>
        <family val="2"/>
      </rPr>
      <t xml:space="preserve">Pinchuk, G. E., Hill, E. A., Geydebrekht, O. V., De Ingeniis, J., Zhang, X., Osterman, A., ... &amp; Reed, J. L. (2010). Constraint-based model of Shewanella oneidensis MR-1 metabolism: a tool for data analysis and hypothesis generation. </t>
    </r>
    <r>
      <rPr>
        <i val="true"/>
        <sz val="10"/>
        <color rgb="FF333333"/>
        <rFont val="Arial"/>
        <family val="2"/>
      </rPr>
      <t xml:space="preserve">PLoS computational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6</t>
    </r>
    <r>
      <rPr>
        <sz val="10"/>
        <color rgb="FF333333"/>
        <rFont val="Arial"/>
        <family val="2"/>
      </rPr>
      <t xml:space="preserve">(6), e1000822.</t>
    </r>
  </si>
  <si>
    <r>
      <rPr>
        <sz val="10"/>
        <color rgb="FF333333"/>
        <rFont val="Arial"/>
        <family val="2"/>
      </rPr>
      <t xml:space="preserve">Kim, H. U., Kim, S. Y., Jeong, H., Kim, T. Y., Kim, J. J., Choy, H. E., ... &amp; Lee, S. Y. (2011). Integrative genome‐scale metabolic analysis of Vibrio vulnificus for drug targeting and discovery.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7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</si>
  <si>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Kjeldsen, K. R., &amp; Nielsen, J. (2009). In silico genome‐scale reconstruction and validation of the Corynebacterium glutamicum metabolic network.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(2), 583-597.</t>
    </r>
  </si>
  <si>
    <r>
      <rPr>
        <sz val="10"/>
        <color rgb="FF333333"/>
        <rFont val="Arial"/>
        <family val="2"/>
      </rPr>
      <t xml:space="preserve">Caspi, R., Foerster, H., Fulcher, C. A., Kaipa, P., Krummenacker, M., Latendresse, M., ... &amp; Karp, P. D. (2008). The MetaCyc Database of metabolic pathways and enzymes and the BioCyc collection of Pathway/Genome Databases.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36</t>
    </r>
    <r>
      <rPr>
        <sz val="10"/>
        <color rgb="FF333333"/>
        <rFont val="Arial"/>
        <family val="2"/>
      </rPr>
      <t xml:space="preserve">(suppl 1), D623-D631.</t>
    </r>
  </si>
  <si>
    <r>
      <rPr>
        <sz val="10"/>
        <color rgb="FF333333"/>
        <rFont val="Arial"/>
        <family val="2"/>
      </rPr>
      <t xml:space="preserve">Peterson, J. D., Umayam, L. A., Dickinson, T., Hickey, E. K., &amp; White, O. (2001). The comprehensive microbial resource.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29</t>
    </r>
    <r>
      <rPr>
        <sz val="10"/>
        <color rgb="FF333333"/>
        <rFont val="Arial"/>
        <family val="2"/>
      </rPr>
      <t xml:space="preserve">(1), 123-125.</t>
    </r>
  </si>
  <si>
    <r>
      <rPr>
        <sz val="10"/>
        <color rgb="FF333333"/>
        <rFont val="Arial"/>
        <family val="2"/>
      </rPr>
      <t xml:space="preserve">Mykytczuk, N. C. S., Trevors, J. T., Ferroni, G. D., &amp; Leduc, L. G. (2010). Cytoplasmic membrane fluidity and fatty acid composition of Acidithiobacillus ferrooxidans in response to pH stress. </t>
    </r>
    <r>
      <rPr>
        <i val="true"/>
        <sz val="10"/>
        <color rgb="FF333333"/>
        <rFont val="Arial"/>
        <family val="2"/>
      </rPr>
      <t xml:space="preserve">Extremophiles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</t>
    </r>
    <r>
      <rPr>
        <sz val="10"/>
        <color rgb="FF333333"/>
        <rFont val="Arial"/>
        <family val="2"/>
      </rPr>
      <t xml:space="preserve">(5), 427-441.</t>
    </r>
  </si>
  <si>
    <r>
      <rPr>
        <sz val="10"/>
        <color rgb="FF333333"/>
        <rFont val="Arial"/>
        <family val="2"/>
      </rPr>
      <t xml:space="preserve">Shively, J. M., &amp; Benson, A. A. (1967). Phospholipids of Thiobacillus thiooxidans.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94</t>
    </r>
    <r>
      <rPr>
        <sz val="10"/>
        <color rgb="FF333333"/>
        <rFont val="Arial"/>
        <family val="2"/>
      </rPr>
      <t xml:space="preserve">(5), 1679-1683.</t>
    </r>
  </si>
  <si>
    <r>
      <rPr>
        <sz val="10"/>
        <color rgb="FF333333"/>
        <rFont val="Arial"/>
        <family val="2"/>
      </rPr>
      <t xml:space="preserve">Yokota, A., Rodriguez, M., Yamada, Y., Imai, K., Borowiak, D., &amp; Mayer, H. (1987). Lipopolysaccharides of Thiobacillus species containing lipid A with 2, 3-diamino-2, 3-dideoxyglucose.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149</t>
    </r>
    <r>
      <rPr>
        <sz val="10"/>
        <color rgb="FF333333"/>
        <rFont val="Arial"/>
        <family val="2"/>
      </rPr>
      <t xml:space="preserve">(2), 106-111.</t>
    </r>
  </si>
  <si>
    <r>
      <rPr>
        <sz val="10"/>
        <color rgb="FF333333"/>
        <rFont val="Arial"/>
        <family val="2"/>
      </rPr>
      <t xml:space="preserve">Harneit, K., Göksel, A., Kock, D., Klock, J. H., Gehrke, T., &amp; Sand, W. (2006). Adhesion to metal sulfide surfaces by cells of Acidithiobacillus ferrooxidans, Acidithiobacillus thiooxidans and Leptospirillum ferrooxidans. </t>
    </r>
    <r>
      <rPr>
        <i val="true"/>
        <sz val="10"/>
        <color rgb="FF333333"/>
        <rFont val="Arial"/>
        <family val="2"/>
      </rPr>
      <t xml:space="preserve">Hydrometallurgy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83</t>
    </r>
    <r>
      <rPr>
        <sz val="10"/>
        <color rgb="FF333333"/>
        <rFont val="Arial"/>
        <family val="2"/>
      </rPr>
      <t xml:space="preserve">(1), 245-254.</t>
    </r>
  </si>
  <si>
    <r>
      <rPr>
        <sz val="10"/>
        <color rgb="FF333333"/>
        <rFont val="Arial"/>
        <family val="2"/>
      </rPr>
      <t xml:space="preserve">Hold, C., Andrews, B. A., &amp; Asenjo, J. A. (2009). A stoichiometric model of Acidithiobacillus ferrooxidans ATCC 23270 for metabolic flux analysis.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(5), 1448-1459.</t>
    </r>
  </si>
  <si>
    <t xml:space="preserve">Boon M. (1996). Theoretical and experimental methods in the modelling of bio-oxidation kinetics of sulphide minerals. TU Dissertation, Departament of Biochemical E  ngineering, Kluyver Laboratory for Biotechnology, Delft University.</t>
  </si>
  <si>
    <r>
      <rPr>
        <sz val="10"/>
        <color rgb="FF333333"/>
        <rFont val="Arial"/>
        <family val="2"/>
      </rPr>
      <t xml:space="preserve">Eccleston, M. A. R. T. I. N., &amp; Kelly, D. P. (1978). Oxidation kinetics and chemostat growth kinetics of Thiobacillus ferrooxidans on tetrathionate and thiosulfate.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134</t>
    </r>
    <r>
      <rPr>
        <sz val="10"/>
        <color rgb="FF333333"/>
        <rFont val="Arial"/>
        <family val="2"/>
      </rPr>
      <t xml:space="preserve">(3), 718-727.</t>
    </r>
  </si>
  <si>
    <r>
      <rPr>
        <sz val="10"/>
        <color rgb="FF333333"/>
        <rFont val="Arial"/>
        <family val="2"/>
      </rPr>
      <t xml:space="preserve">Ferguson, S. J., &amp; Ingledew, W. J. (2008). Energetic problems faced by micro-organisms growing or surviving on parsimonious energy sources and at acidic pH: I. Acidithiobacillus ferrooxidans as a paradigm. </t>
    </r>
    <r>
      <rPr>
        <i val="true"/>
        <sz val="10"/>
        <color rgb="FF333333"/>
        <rFont val="Arial"/>
        <family val="2"/>
      </rPr>
      <t xml:space="preserve">Biochimica et Biophysica Acta (BBA)-Bioenergetics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1777</t>
    </r>
    <r>
      <rPr>
        <sz val="10"/>
        <color rgb="FF333333"/>
        <rFont val="Arial"/>
        <family val="2"/>
      </rPr>
      <t xml:space="preserve">(12), 1471-1479.</t>
    </r>
  </si>
  <si>
    <r>
      <rPr>
        <sz val="10"/>
        <color rgb="FF333333"/>
        <rFont val="Arial"/>
        <family val="2"/>
      </rPr>
      <t xml:space="preserve">Feist, A. M., Scholten, J., Palsson, B. Ø., Brockman, F. J., &amp; Ideker, T. (2006). Modeling methanogenesis with a genome‐scale metabolic reconstruction of Methanosarcina barkeri.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</t>
    </r>
    <r>
      <rPr>
        <sz val="10"/>
        <color rgb="FF333333"/>
        <rFont val="Arial"/>
        <family val="2"/>
      </rPr>
      <t xml:space="preserve">(1).</t>
    </r>
  </si>
  <si>
    <t xml:space="preserve">J.C. Cox, D.G. Nicholls and W.J. Ingledew. Transmembrane Electrical Potential and Transmembrane pH Gradient in the Acidophile Thiobacillus ferro-xidans. Biochem J. (1979) 178, 195-200.</t>
  </si>
  <si>
    <t xml:space="preserve">Minimal Media for fe2</t>
  </si>
  <si>
    <t xml:space="preserve">Minimal Media for ttton</t>
  </si>
  <si>
    <t xml:space="preserve">Minimal Media for tsul</t>
  </si>
  <si>
    <t xml:space="preserve">Reaction ID</t>
  </si>
  <si>
    <t xml:space="preserve">Reaction Name</t>
  </si>
  <si>
    <t xml:space="preserve">Reaction Formula </t>
  </si>
  <si>
    <t xml:space="preserve">Confidence Level</t>
  </si>
  <si>
    <t xml:space="preserve">EC Number</t>
  </si>
  <si>
    <t xml:space="preserve">PMID</t>
  </si>
  <si>
    <t xml:space="preserve">Subsystem</t>
  </si>
  <si>
    <t xml:space="preserve">Gene-Reaction Association</t>
  </si>
  <si>
    <t xml:space="preserve">Gene-Protein-Reaction Association</t>
  </si>
  <si>
    <t xml:space="preserve">Protein-Reaction-Association</t>
  </si>
  <si>
    <t xml:space="preserve">lb</t>
  </si>
  <si>
    <t xml:space="preserve">ub</t>
  </si>
  <si>
    <t xml:space="preserve">3OAR1</t>
  </si>
  <si>
    <t xml:space="preserve">3-oxoacyl-(acyl-carrier-protein) reductase</t>
  </si>
  <si>
    <t xml:space="preserve">h[c] + nadph[c] + actACP[c]  &lt;=&gt; nadp[c] + 3hydbutACP[c] </t>
  </si>
  <si>
    <t xml:space="preserve">1.1.1.100</t>
  </si>
  <si>
    <t xml:space="preserve">(Cell Envelope Biosynthesis) or (Fatty acid biosynthesis)</t>
  </si>
  <si>
    <t xml:space="preserve">AFE_1908</t>
  </si>
  <si>
    <t xml:space="preserve">FabG (AFE_1908)</t>
  </si>
  <si>
    <t xml:space="preserve">FabG</t>
  </si>
  <si>
    <t xml:space="preserve">3OAR10</t>
  </si>
  <si>
    <t xml:space="preserve">h[c] + nadph[c] + 3ohexACP[c]  &lt;=&gt; nadp[c] + 3hhexACP[c] </t>
  </si>
  <si>
    <t xml:space="preserve">3OAR11</t>
  </si>
  <si>
    <t xml:space="preserve">h[c] + nadph[c] + 3ooctACP[c]  &lt;=&gt; nadp[c] + 3hoctACP[c] </t>
  </si>
  <si>
    <t xml:space="preserve">3OAR12</t>
  </si>
  <si>
    <t xml:space="preserve">h[c] + nadph[c] + 3odecACP[c]  &lt;=&gt; nadp[c] + 3hdecACP[c] </t>
  </si>
  <si>
    <t xml:space="preserve">3OAR13</t>
  </si>
  <si>
    <t xml:space="preserve">h[c] + nadph[c] + 3oddecACP[c]  &lt;=&gt; nadp[c] + 3hddecACP[c] </t>
  </si>
  <si>
    <t xml:space="preserve">3OAR14</t>
  </si>
  <si>
    <t xml:space="preserve">h[c] + nadph[c] + 3omrsACP[c]  &lt;=&gt; nadp[c] + 3hmrsACP[c] </t>
  </si>
  <si>
    <t xml:space="preserve">3OAR15</t>
  </si>
  <si>
    <t xml:space="preserve">h[c] + nadph[c] + 3opalmACP[c]  &lt;=&gt; nadp[c] + 3hpalmACP[c] </t>
  </si>
  <si>
    <t xml:space="preserve">3OAR16</t>
  </si>
  <si>
    <t xml:space="preserve">h[c] + nadph[c] + 3ooctdACP[c]  &lt;=&gt; nadp[c] + 3hoctaACP[c] </t>
  </si>
  <si>
    <t xml:space="preserve">3OAR17</t>
  </si>
  <si>
    <t xml:space="preserve">h[c] + nadph[c] + 3oxeicACP[c]  &lt;=&gt; nadp[c] + R-3hyeicACP[c] </t>
  </si>
  <si>
    <t xml:space="preserve">3OAR2</t>
  </si>
  <si>
    <t xml:space="preserve">h[c] + nadph[c] + coxododACP[c]  &lt;=&gt; nadp[c] + chydodeACP[c] </t>
  </si>
  <si>
    <t xml:space="preserve">3OAR3</t>
  </si>
  <si>
    <t xml:space="preserve">h[c] + nadph[c] + coxtdeACP[c]  &lt;=&gt; nadp[c] + chytedeACP[c] </t>
  </si>
  <si>
    <t xml:space="preserve">3OAR4</t>
  </si>
  <si>
    <t xml:space="preserve">h[c] + nadph[c] + coxhxcsACP[c]  &lt;=&gt; nadp[c] + chyhecdeACP[c] </t>
  </si>
  <si>
    <t xml:space="preserve">3OAR5</t>
  </si>
  <si>
    <t xml:space="preserve">h[c] + nadph[c] + coxocdaACP[c]  &lt;=&gt; nadp[c] + chyocdeACP[c] </t>
  </si>
  <si>
    <t xml:space="preserve">3OAR6</t>
  </si>
  <si>
    <t xml:space="preserve">h[c] + nadph[c] +3oxpenACP[c]  &lt;=&gt; nadp[c] + R-3hptACP[c]  </t>
  </si>
  <si>
    <t xml:space="preserve">3OAR7</t>
  </si>
  <si>
    <t xml:space="preserve">5 h[c] + 5 nadph[c] + v3oaACP[c]  &lt;=&gt; 5 nadp[c] + v3haACP[c] </t>
  </si>
  <si>
    <t xml:space="preserve">3OAR8</t>
  </si>
  <si>
    <t xml:space="preserve">h[c] + nadph[c] + 3oxhepACP[c]  &lt;=&gt; nadp[c] + R-3hyhepACP[c] </t>
  </si>
  <si>
    <t xml:space="preserve">3OAR9</t>
  </si>
  <si>
    <t xml:space="preserve">h[c] + nadph[c] + 3oxnonACP[c]  &lt;=&gt; nadp[c] + 3hynonACP[c] </t>
  </si>
  <si>
    <t xml:space="preserve">3OAS1</t>
  </si>
  <si>
    <t xml:space="preserve">3-oxoacyl-[acyl-carrier-protein] synthase</t>
  </si>
  <si>
    <t xml:space="preserve">h[c] + malACP[c] + butACP[c]  -&gt; co2[c] + ACP[c] + 3ohexACP[c] </t>
  </si>
  <si>
    <t xml:space="preserve">2.3.1.41</t>
  </si>
  <si>
    <t xml:space="preserve">(AFE_0796 or AFE_1910)</t>
  </si>
  <si>
    <t xml:space="preserve">( AFE_0796 (AFE_0796) or FabF (AFE_1910) )</t>
  </si>
  <si>
    <t xml:space="preserve">( AFE_0796 ) or ( AFE_1910 )</t>
  </si>
  <si>
    <t xml:space="preserve">3OAS10</t>
  </si>
  <si>
    <t xml:space="preserve">h[c] + malACP[c] + dcaACP[c]  -&gt; co2[c] + ACP[c] + 3oddecACP[c] </t>
  </si>
  <si>
    <t xml:space="preserve">3OAS11</t>
  </si>
  <si>
    <t xml:space="preserve">h[c] + ddcaACP[c] + malACP[c]  -&gt; co2[c] + ACP[c] + 3omrsACP[c] </t>
  </si>
  <si>
    <t xml:space="preserve">3OAS12</t>
  </si>
  <si>
    <t xml:space="preserve">h[c] + myrsACP[c] + malACP[c]  -&gt; co2[c] + ACP[c] + 3opalmACP[c] </t>
  </si>
  <si>
    <t xml:space="preserve">3OAS13</t>
  </si>
  <si>
    <t xml:space="preserve">h[c] + palmACP[c] + malACP[c]  -&gt; co2[c] + ACP[c] + 3ooctdACP[c] </t>
  </si>
  <si>
    <t xml:space="preserve">3OAS14</t>
  </si>
  <si>
    <t xml:space="preserve">h[c] + ocdcaACP[c] + malACP[c]  -&gt; co2[c] + ACP[c] + 3oxeicACP[c] </t>
  </si>
  <si>
    <t xml:space="preserve">3OAS15</t>
  </si>
  <si>
    <t xml:space="preserve">h[c] + dec3ACP[c] + malACP[c]  -&gt; co2[c] + ACP[c] + coxododACP[c] </t>
  </si>
  <si>
    <t xml:space="preserve">3OAS2</t>
  </si>
  <si>
    <t xml:space="preserve">h[c] + malACP[c] + 3cddACP[c]  -&gt; co2[c] + ACP[c] + coxtdeACP[c] </t>
  </si>
  <si>
    <t xml:space="preserve">3OAS27</t>
  </si>
  <si>
    <t xml:space="preserve">3-oxoacyl-(acyl-carrier-protein) synthase III</t>
  </si>
  <si>
    <t xml:space="preserve">h[c] + acACP[c] + malACP[c]  -&gt; co2[c] + ACP[c] + actACP[c] </t>
  </si>
  <si>
    <t xml:space="preserve">2.3.1.180</t>
  </si>
  <si>
    <t xml:space="preserve">AFE_1906</t>
  </si>
  <si>
    <t xml:space="preserve">FabH (AFE_1906)</t>
  </si>
  <si>
    <t xml:space="preserve">FabH</t>
  </si>
  <si>
    <t xml:space="preserve">3OAS28</t>
  </si>
  <si>
    <t xml:space="preserve">h[c] + malACP[c] + ppcoa[c]  &lt;=&gt; co2[c] + coa[c] + 3oxpenACP[c] </t>
  </si>
  <si>
    <t xml:space="preserve">3OAS3</t>
  </si>
  <si>
    <t xml:space="preserve">h[c] + malACP[c] + ctdeACP[c]  -&gt; co2[c] + ACP[c] + coxhxcsACP[c] </t>
  </si>
  <si>
    <t xml:space="preserve">3OAS4</t>
  </si>
  <si>
    <t xml:space="preserve">h[c] + chexcaACP[c] + malACP[c]  -&gt; co2[c] + ACP[c] + coxocdaACP[c] </t>
  </si>
  <si>
    <t xml:space="preserve">3OAS5</t>
  </si>
  <si>
    <t xml:space="preserve">5 h[c] + 5 malACP[c] + ptACP[c]  -&gt; 5 co2[c] + 5 ACP[c] + v3oaACP[c] </t>
  </si>
  <si>
    <t xml:space="preserve">3OAS6</t>
  </si>
  <si>
    <t xml:space="preserve">h[c] + ptdcaACP[c] + malACP[c]  -&gt; co2[c] + ACP[c] + 3oxhepACP[c] </t>
  </si>
  <si>
    <t xml:space="preserve">3OAS7</t>
  </si>
  <si>
    <t xml:space="preserve">h[c] + hpdcaACP[c] + malACP[c]  -&gt; co2[c] + ACP[c] + 3oxnonACP[c] </t>
  </si>
  <si>
    <t xml:space="preserve">3OAS8</t>
  </si>
  <si>
    <t xml:space="preserve">h[c] + malACP[c] + hexACP[c]  -&gt; co2[c] + ACP[c] + 3ooctACP[c] </t>
  </si>
  <si>
    <t xml:space="preserve">3OAS9</t>
  </si>
  <si>
    <t xml:space="preserve">h[c] + malACP[c] + ocACP[c]  -&gt; co2[c] + ACP[c] + 3odecACP[c] </t>
  </si>
  <si>
    <t xml:space="preserve">4HBAtex</t>
  </si>
  <si>
    <t xml:space="preserve">4hba transport</t>
  </si>
  <si>
    <t xml:space="preserve">4hba[p]  &lt;=&gt; 4hba[e] </t>
  </si>
  <si>
    <t xml:space="preserve">Transport, Outer Membrane Porin</t>
  </si>
  <si>
    <t xml:space="preserve">4HBAtpp</t>
  </si>
  <si>
    <t xml:space="preserve">4hba transport (citoplasm)</t>
  </si>
  <si>
    <t xml:space="preserve">4hba[c]  &lt;=&gt; 4hba[p] </t>
  </si>
  <si>
    <t xml:space="preserve">Transport, Inner Membrane</t>
  </si>
  <si>
    <t xml:space="preserve">4THASE1</t>
  </si>
  <si>
    <t xml:space="preserve">tetrathionate hydrolase</t>
  </si>
  <si>
    <t xml:space="preserve">ttton[p] + h2o[p]  -&gt; tsul[p] + s[p] + 2 h[p] + so4[p] </t>
  </si>
  <si>
    <t xml:space="preserve">Sulfur Metabolism </t>
  </si>
  <si>
    <t xml:space="preserve">AFE_0029</t>
  </si>
  <si>
    <t xml:space="preserve">TetH (AFE_0029)</t>
  </si>
  <si>
    <t xml:space="preserve">TetH</t>
  </si>
  <si>
    <t xml:space="preserve">4THASE2</t>
  </si>
  <si>
    <t xml:space="preserve">4 ttton[p] + 5 h2o[p]  -&gt; 7 tsul[p] + 10 h[p] + 2 so4[p] </t>
  </si>
  <si>
    <t xml:space="preserve">5OXOP</t>
  </si>
  <si>
    <t xml:space="preserve">5-oxoprolinase (ATP-hydrolysing)</t>
  </si>
  <si>
    <t xml:space="preserve">5oxpro[c] + 2 h2o[c] + atp[c]  &lt;=&gt; h[c] + glu-L[c] + pi[c] + adp[c] </t>
  </si>
  <si>
    <t xml:space="preserve">3.5.2.9</t>
  </si>
  <si>
    <t xml:space="preserve">Glutathione Metabolism</t>
  </si>
  <si>
    <t xml:space="preserve">A5PISO</t>
  </si>
  <si>
    <t xml:space="preserve">Arabinose-5-phosphate isomerase</t>
  </si>
  <si>
    <t xml:space="preserve">ru5p-D[c]  &lt;=&gt; ara5p[c] </t>
  </si>
  <si>
    <t xml:space="preserve">5.3.1.13</t>
  </si>
  <si>
    <t xml:space="preserve">(Lipopolysaccharide Biosynthesis) or (Alternate Carbon Metabolism)</t>
  </si>
  <si>
    <t xml:space="preserve">AFE_3030</t>
  </si>
  <si>
    <t xml:space="preserve">AFE_3030 (AFE_3030)</t>
  </si>
  <si>
    <t xml:space="preserve">ACCOAC</t>
  </si>
  <si>
    <t xml:space="preserve">Acetyl-CoA carboxylase</t>
  </si>
  <si>
    <t xml:space="preserve">atp[c] + accoa[c] + hco3[c]  &lt;=&gt; h[c] + pi[c] + adp[c] + malcoa[c] </t>
  </si>
  <si>
    <t xml:space="preserve">6.4.1.2</t>
  </si>
  <si>
    <t xml:space="preserve">(Membrane Lipid Metabolism) or (Fatty Acid Biosynthesis)</t>
  </si>
  <si>
    <t xml:space="preserve">(AFE_1462 or AFE_0196 or AFE_0195 or AFE_2067)</t>
  </si>
  <si>
    <t xml:space="preserve">( AccA (AFE_1462) ) or ( AccB (AFE_0196) ) or ( AccC (AFE_0195) ) or ( AccD (AFE_2067) )</t>
  </si>
  <si>
    <t xml:space="preserve">( AccA ) or ( AccB ) or ( AccC ) or ( AccD )</t>
  </si>
  <si>
    <t xml:space="preserve">ACGK</t>
  </si>
  <si>
    <t xml:space="preserve">acetylglutamate kinase</t>
  </si>
  <si>
    <t xml:space="preserve">atp[c] + acglu[c]  -&gt; adp[c] + acg5p[c] </t>
  </si>
  <si>
    <t xml:space="preserve">2.7.2.8</t>
  </si>
  <si>
    <t xml:space="preserve">Arginine and Proline Metabolism</t>
  </si>
  <si>
    <t xml:space="preserve">AFE_0256</t>
  </si>
  <si>
    <t xml:space="preserve">ArgB (AFE_0256)</t>
  </si>
  <si>
    <t xml:space="preserve">ArgB</t>
  </si>
  <si>
    <t xml:space="preserve">ACGS</t>
  </si>
  <si>
    <t xml:space="preserve">N-acetylglutamate synthase</t>
  </si>
  <si>
    <t xml:space="preserve">glu-L[c] + accoa[c]  -&gt; h[c] + coa[c] + acglu[c] </t>
  </si>
  <si>
    <t xml:space="preserve">2.3.1.1</t>
  </si>
  <si>
    <t xml:space="preserve">AFE_0664</t>
  </si>
  <si>
    <t xml:space="preserve">ArgA (AFE_0664)</t>
  </si>
  <si>
    <t xml:space="preserve">ArgA</t>
  </si>
  <si>
    <t xml:space="preserve">ACHBS</t>
  </si>
  <si>
    <t xml:space="preserve">2-aceto-2-hydroxybutanoate synthase</t>
  </si>
  <si>
    <t xml:space="preserve">h[c] + pyr[c] + 2obut[c]  -&gt; co2[c] + 2ahbut[c] </t>
  </si>
  <si>
    <t xml:space="preserve">2.2.1.6</t>
  </si>
  <si>
    <t xml:space="preserve">Valine, Leucine, and Isoleucine Metabolism</t>
  </si>
  <si>
    <t xml:space="preserve">(AFE_0745 and AFE_0746)</t>
  </si>
  <si>
    <t xml:space="preserve">( IlvB (AFE_0745) and IlvN (AFE_0746) )</t>
  </si>
  <si>
    <t xml:space="preserve">( IlvB and IlvN )</t>
  </si>
  <si>
    <t xml:space="preserve">ACLS</t>
  </si>
  <si>
    <t xml:space="preserve">acetolactate synthase</t>
  </si>
  <si>
    <t xml:space="preserve">h[c] + 2 pyr[c]  -&gt; alac-S[c] + co2[c] </t>
  </si>
  <si>
    <t xml:space="preserve">4.1.3.18</t>
  </si>
  <si>
    <t xml:space="preserve">ACOATA</t>
  </si>
  <si>
    <t xml:space="preserve">Acetyl-CoA ACP transacylase</t>
  </si>
  <si>
    <t xml:space="preserve">accoa[c] + ACP[c]  &lt;=&gt; coa[c] + acACP[c] </t>
  </si>
  <si>
    <t xml:space="preserve">2.3.1.38</t>
  </si>
  <si>
    <t xml:space="preserve">(Membrane Lipid Metabolism) or (Fatty acid biosynthesis)</t>
  </si>
  <si>
    <t xml:space="preserve">ACODA</t>
  </si>
  <si>
    <t xml:space="preserve">Acetylornithine deacetylase</t>
  </si>
  <si>
    <t xml:space="preserve">h2o[c] + acorn[c]  -&gt; orn[c] + ac[c] </t>
  </si>
  <si>
    <t xml:space="preserve">3.5.1.16</t>
  </si>
  <si>
    <t xml:space="preserve">ACONT1</t>
  </si>
  <si>
    <t xml:space="preserve">aconitase (half-reaction A, Citrate hydro-lyase)</t>
  </si>
  <si>
    <t xml:space="preserve">cit[c]  &lt;=&gt; h2o[c] + acon-C[c] </t>
  </si>
  <si>
    <t xml:space="preserve">4.2.1.3</t>
  </si>
  <si>
    <t xml:space="preserve">Citric Acid Cycle</t>
  </si>
  <si>
    <t xml:space="preserve">AFE_0423</t>
  </si>
  <si>
    <t xml:space="preserve">AFE_0423 (AFE_0423)</t>
  </si>
  <si>
    <t xml:space="preserve">ACONT2</t>
  </si>
  <si>
    <t xml:space="preserve">aconitase (half-reaction B, Isocitrate hydro-lyase)</t>
  </si>
  <si>
    <t xml:space="preserve">h2o[c] + acon-C[c]  &lt;=&gt; icit[c] </t>
  </si>
  <si>
    <t xml:space="preserve">ACOTA</t>
  </si>
  <si>
    <t xml:space="preserve">acetylornithine transaminase</t>
  </si>
  <si>
    <t xml:space="preserve">acorn[c] + akg[c]  &lt;=&gt; glu-L[c] + acg5sa[c] </t>
  </si>
  <si>
    <t xml:space="preserve">2.6.1.11</t>
  </si>
  <si>
    <t xml:space="preserve">AFE_0406</t>
  </si>
  <si>
    <t xml:space="preserve">ArgD (AFE_0406)</t>
  </si>
  <si>
    <t xml:space="preserve">ArgD</t>
  </si>
  <si>
    <t xml:space="preserve">ACPS1</t>
  </si>
  <si>
    <t xml:space="preserve">holo-[acyl-carrier protein] synthase</t>
  </si>
  <si>
    <t xml:space="preserve">coa[c] + apoACP[c]  -&gt; h[c] + ACP[c] + pap[c] </t>
  </si>
  <si>
    <t xml:space="preserve">2.7.8.7</t>
  </si>
  <si>
    <t xml:space="preserve">Cofactor and Prosthetic Group Biosynthesis</t>
  </si>
  <si>
    <t xml:space="preserve">AFE_1404</t>
  </si>
  <si>
    <t xml:space="preserve">AcpS (AFE_1404)</t>
  </si>
  <si>
    <t xml:space="preserve">AcpS</t>
  </si>
  <si>
    <t xml:space="preserve">ACPpds</t>
  </si>
  <si>
    <t xml:space="preserve">acyl carrier protein phosphodiesterase</t>
  </si>
  <si>
    <t xml:space="preserve">h2o[c] + ACP[c]  -&gt; h[c] + apoACP[c] + 4ppan[c] </t>
  </si>
  <si>
    <t xml:space="preserve">3.1.4.14</t>
  </si>
  <si>
    <t xml:space="preserve">Sulfur Metabolism</t>
  </si>
  <si>
    <t xml:space="preserve">ACS</t>
  </si>
  <si>
    <t xml:space="preserve">acetyl-CoA synthetase</t>
  </si>
  <si>
    <t xml:space="preserve">atp[c] + ac[c] + coa[c]  -&gt; ppi[c] + accoa[c] + amp[c] </t>
  </si>
  <si>
    <t xml:space="preserve">6.2.1.1</t>
  </si>
  <si>
    <t xml:space="preserve">Pyruvate Metabolism</t>
  </si>
  <si>
    <t xml:space="preserve">AFE_1969</t>
  </si>
  <si>
    <t xml:space="preserve">Acs (AFE_1969)</t>
  </si>
  <si>
    <t xml:space="preserve">Acs</t>
  </si>
  <si>
    <t xml:space="preserve">ADA</t>
  </si>
  <si>
    <t xml:space="preserve">Adenosine deaminase</t>
  </si>
  <si>
    <t xml:space="preserve">h[c] + h2o[c] + adn[c]  &lt;=&gt; ins[c] + nh4[c] </t>
  </si>
  <si>
    <t xml:space="preserve">3.5.4.4</t>
  </si>
  <si>
    <t xml:space="preserve">Nucleotide Salvage Pathway</t>
  </si>
  <si>
    <t xml:space="preserve">AFE_0773</t>
  </si>
  <si>
    <t xml:space="preserve">Add (AFE_0773)</t>
  </si>
  <si>
    <t xml:space="preserve">Add</t>
  </si>
  <si>
    <t xml:space="preserve">ADCL</t>
  </si>
  <si>
    <t xml:space="preserve">4-aminobenzoate synthase</t>
  </si>
  <si>
    <t xml:space="preserve">4adcho[c]  -&gt; h[c] + pyr[c] + 4abz[c] </t>
  </si>
  <si>
    <t xml:space="preserve">4.1.3.38</t>
  </si>
  <si>
    <t xml:space="preserve">(Cofactor and Prosthetic Group Biosynthesis) or (Tetrahydrofolate Biosynthesis)</t>
  </si>
  <si>
    <t xml:space="preserve">AFE_1911</t>
  </si>
  <si>
    <t xml:space="preserve">AFE_1911 (AFE_1911)</t>
  </si>
  <si>
    <t xml:space="preserve">ADCS</t>
  </si>
  <si>
    <t xml:space="preserve">4-amino-4-deoxychorismate synthase</t>
  </si>
  <si>
    <t xml:space="preserve">chor[c] + gln-L[c]  -&gt; glu-L[c] + 4adcho[c] </t>
  </si>
  <si>
    <t xml:space="preserve">2.6.1.85</t>
  </si>
  <si>
    <t xml:space="preserve">(AFE_3244 and AFE_0576)</t>
  </si>
  <si>
    <t xml:space="preserve">( PabA (AFE_3244) and PabB (AFE_0576) )</t>
  </si>
  <si>
    <t xml:space="preserve">( PabA and PabB )</t>
  </si>
  <si>
    <t xml:space="preserve">ADK1</t>
  </si>
  <si>
    <t xml:space="preserve">Adenylate kinase</t>
  </si>
  <si>
    <t xml:space="preserve">atp[c] + amp[c]  &lt;=&gt; 2 adp[c] </t>
  </si>
  <si>
    <t xml:space="preserve">2.7.4.3</t>
  </si>
  <si>
    <t xml:space="preserve">AFE_0348</t>
  </si>
  <si>
    <t xml:space="preserve">Adk (AFE_0348)</t>
  </si>
  <si>
    <t xml:space="preserve">Adk</t>
  </si>
  <si>
    <t xml:space="preserve">ADMDC</t>
  </si>
  <si>
    <t xml:space="preserve">Adenosylmethionine decarboxylase</t>
  </si>
  <si>
    <t xml:space="preserve">h[c] + amet[c]  &lt;=&gt; co2[c] + ametam[c] </t>
  </si>
  <si>
    <t xml:space="preserve">4.1.1.50</t>
  </si>
  <si>
    <t xml:space="preserve">AFE_0157</t>
  </si>
  <si>
    <t xml:space="preserve">(AFE_0157(AFE_0157 )</t>
  </si>
  <si>
    <t xml:space="preserve">(AFE_0157</t>
  </si>
  <si>
    <t xml:space="preserve">ADNSE</t>
  </si>
  <si>
    <t xml:space="preserve">Adenosylhomocysteinase</t>
  </si>
  <si>
    <t xml:space="preserve">h2o[c] + ahcys[c]  &lt;=&gt; adn[c] + hcys-L[c] </t>
  </si>
  <si>
    <t xml:space="preserve">3.3.1.1</t>
  </si>
  <si>
    <t xml:space="preserve">Methionine Metabolism</t>
  </si>
  <si>
    <t xml:space="preserve">AFE_0534</t>
  </si>
  <si>
    <t xml:space="preserve">AhcY (AFE_0534)</t>
  </si>
  <si>
    <t xml:space="preserve">AhcY</t>
  </si>
  <si>
    <t xml:space="preserve">ADPT</t>
  </si>
  <si>
    <t xml:space="preserve">adenine phosphoribosyltransferase</t>
  </si>
  <si>
    <t xml:space="preserve">ppi[c] + amp[c]  &lt;=&gt; ade[c] + prpp[c] </t>
  </si>
  <si>
    <t xml:space="preserve">2.4.2.7</t>
  </si>
  <si>
    <t xml:space="preserve">AFE_0540</t>
  </si>
  <si>
    <t xml:space="preserve">AFE_0540 (AFE_0540)</t>
  </si>
  <si>
    <t xml:space="preserve">ADSK</t>
  </si>
  <si>
    <t xml:space="preserve">adenylyl-sulfate kinase</t>
  </si>
  <si>
    <t xml:space="preserve">atp[c] + aps[c]  &lt;=&gt; h[c] + adp[c] + paps[c] </t>
  </si>
  <si>
    <t xml:space="preserve">2.7.1.25</t>
  </si>
  <si>
    <t xml:space="preserve">Cysteine Metabolism</t>
  </si>
  <si>
    <t xml:space="preserve">AFE_0539 </t>
  </si>
  <si>
    <t xml:space="preserve">AFE_0539 (AFE_0539)</t>
  </si>
  <si>
    <t xml:space="preserve">ADSL1</t>
  </si>
  <si>
    <t xml:space="preserve">adenylsuccinate lyase</t>
  </si>
  <si>
    <t xml:space="preserve">dcamp[c]  &lt;=&gt; amp[c] + fum[c] </t>
  </si>
  <si>
    <t xml:space="preserve">4.3.2.2</t>
  </si>
  <si>
    <t xml:space="preserve">Purine and Pyrimidine Biosynthesis</t>
  </si>
  <si>
    <t xml:space="preserve">AFE_2356</t>
  </si>
  <si>
    <t xml:space="preserve">PurB (AFE_2356)</t>
  </si>
  <si>
    <t xml:space="preserve">PurB</t>
  </si>
  <si>
    <t xml:space="preserve">ADSL2</t>
  </si>
  <si>
    <t xml:space="preserve">adenylosuccinate lyase</t>
  </si>
  <si>
    <t xml:space="preserve">25aics[c]  &lt;=&gt; fum[c] + aicar[c] </t>
  </si>
  <si>
    <t xml:space="preserve">ADSR</t>
  </si>
  <si>
    <t xml:space="preserve">adenylylsulfate reductase </t>
  </si>
  <si>
    <t xml:space="preserve">2 h[c] + amp[c] + q8[c] + so3[c]  -&gt; q8h2[c] + aps[c] </t>
  </si>
  <si>
    <t xml:space="preserve">ADSS</t>
  </si>
  <si>
    <t xml:space="preserve">adenylosuccinate synthase</t>
  </si>
  <si>
    <t xml:space="preserve">asp-L[c] + gtp[c] + imp[c]  -&gt; 2 h[c] + pi[c] + gdp[c] + dcamp[c] </t>
  </si>
  <si>
    <t xml:space="preserve">6.3.4.4</t>
  </si>
  <si>
    <t xml:space="preserve">AFE_1889</t>
  </si>
  <si>
    <t xml:space="preserve">PurA (AFE_1889)</t>
  </si>
  <si>
    <t xml:space="preserve">PurA</t>
  </si>
  <si>
    <t xml:space="preserve">AGAD</t>
  </si>
  <si>
    <t xml:space="preserve">NAD dependent UDP-N-acetylglucosamine 3-dehydrogenase </t>
  </si>
  <si>
    <t xml:space="preserve">nad[c] + uacgam[c]  -&gt; h[c] + nadh[c] + uacgamo[c] </t>
  </si>
  <si>
    <t xml:space="preserve">Lipopolysaccharide Biosynthesis</t>
  </si>
  <si>
    <t xml:space="preserve">AFE_1457</t>
  </si>
  <si>
    <t xml:space="preserve">GnnA (AFE_1457)</t>
  </si>
  <si>
    <t xml:space="preserve">GnnA</t>
  </si>
  <si>
    <t xml:space="preserve">AGMHE</t>
  </si>
  <si>
    <t xml:space="preserve">ADP-D-glycero-D-manno-heptose epimerase</t>
  </si>
  <si>
    <t xml:space="preserve">adphep-DD[c]  &lt;=&gt; adphep-LD[c] </t>
  </si>
  <si>
    <t xml:space="preserve">5.1.3.20</t>
  </si>
  <si>
    <t xml:space="preserve">AFE_1967</t>
  </si>
  <si>
    <t xml:space="preserve">RfaD (AFE_1967)</t>
  </si>
  <si>
    <t xml:space="preserve">RfaD</t>
  </si>
  <si>
    <t xml:space="preserve">AGPR</t>
  </si>
  <si>
    <t xml:space="preserve">N-acetyl-g-glutamyl-phosphate reductase</t>
  </si>
  <si>
    <t xml:space="preserve">pi[c] + nadp[c] + acg5sa[c]  &lt;=&gt; h[c] + nadph[c] + acg5p[c] </t>
  </si>
  <si>
    <t xml:space="preserve">1.2.1.38</t>
  </si>
  <si>
    <t xml:space="preserve">AFE_3073</t>
  </si>
  <si>
    <t xml:space="preserve">ArgC (AFE_3073)</t>
  </si>
  <si>
    <t xml:space="preserve">ArgC</t>
  </si>
  <si>
    <t xml:space="preserve">AHCYSNS</t>
  </si>
  <si>
    <t xml:space="preserve">Adenosylhomocysteine nucleosidase</t>
  </si>
  <si>
    <t xml:space="preserve">h2o[c] + ahcys[c]  -&gt; ade[c] + rhcys[c] </t>
  </si>
  <si>
    <t xml:space="preserve">3.2.2.9</t>
  </si>
  <si>
    <t xml:space="preserve">AFE_2123</t>
  </si>
  <si>
    <t xml:space="preserve">AFE_2123 (AFE_2123)</t>
  </si>
  <si>
    <t xml:space="preserve">AICART</t>
  </si>
  <si>
    <t xml:space="preserve">phosphoribosylaminoimidazolecarboxamide formyltransferase</t>
  </si>
  <si>
    <t xml:space="preserve">10fthf[c] + aicar[c]  &lt;=&gt; thf[c] + fprica[c] </t>
  </si>
  <si>
    <t xml:space="preserve">2.1.2.3</t>
  </si>
  <si>
    <t xml:space="preserve">AFE_2260</t>
  </si>
  <si>
    <t xml:space="preserve">PurH (AFE_2260)</t>
  </si>
  <si>
    <t xml:space="preserve">PurH</t>
  </si>
  <si>
    <t xml:space="preserve">AIRC</t>
  </si>
  <si>
    <t xml:space="preserve">Phosphoribosylaminoimidazole carboxylase</t>
  </si>
  <si>
    <t xml:space="preserve">h[c] + 5aizc[c]  &lt;=&gt; co2[c] + air[c] </t>
  </si>
  <si>
    <t xml:space="preserve">4.1.1.21</t>
  </si>
  <si>
    <t xml:space="preserve">(AFE_0273 and AFE_0272)</t>
  </si>
  <si>
    <t xml:space="preserve">( PurK (AFE_0273) and PurE (AFE_0272) )</t>
  </si>
  <si>
    <t xml:space="preserve">( PurK and PurE )</t>
  </si>
  <si>
    <t xml:space="preserve">ALAALAr</t>
  </si>
  <si>
    <t xml:space="preserve">D-alanine-D-alanine ligase</t>
  </si>
  <si>
    <t xml:space="preserve">atp[c] + 2 ala-D[c]  &lt;=&gt; h[c] + pi[c] + adp[c] + alaala[c] </t>
  </si>
  <si>
    <t xml:space="preserve">6.3.2.4</t>
  </si>
  <si>
    <t xml:space="preserve">(Cell Envelope Biosynthesis) or (Murein Biosynthesis)</t>
  </si>
  <si>
    <t xml:space="preserve">AFE_0203</t>
  </si>
  <si>
    <t xml:space="preserve">DdlB (AFE_0203)</t>
  </si>
  <si>
    <t xml:space="preserve">DdlB</t>
  </si>
  <si>
    <t xml:space="preserve">ALAR</t>
  </si>
  <si>
    <t xml:space="preserve">alanine racemase</t>
  </si>
  <si>
    <t xml:space="preserve">ala-L[c]  &lt;=&gt; ala-D[c] </t>
  </si>
  <si>
    <t xml:space="preserve">5.1.1.1</t>
  </si>
  <si>
    <t xml:space="preserve">Alanine and Aspartate Metabolism</t>
  </si>
  <si>
    <t xml:space="preserve">AFE_2818</t>
  </si>
  <si>
    <t xml:space="preserve">Alr (AFE_2818)</t>
  </si>
  <si>
    <t xml:space="preserve">Alr</t>
  </si>
  <si>
    <t xml:space="preserve">ALDEP</t>
  </si>
  <si>
    <t xml:space="preserve">aldose 1-epimerase</t>
  </si>
  <si>
    <t xml:space="preserve">glc-B[c]  &lt;=&gt; glc-A[c] </t>
  </si>
  <si>
    <t xml:space="preserve">5.1.3.3</t>
  </si>
  <si>
    <t xml:space="preserve">Glycogen Metabolism</t>
  </si>
  <si>
    <t xml:space="preserve">AMALT1</t>
  </si>
  <si>
    <t xml:space="preserve">Amylomaltase (maltotriose)</t>
  </si>
  <si>
    <t xml:space="preserve">malttr[c] + mal-B[c]  &lt;=&gt; glc-B[c] + maltttr[c] </t>
  </si>
  <si>
    <t xml:space="preserve">2.4.1.25</t>
  </si>
  <si>
    <t xml:space="preserve">Alternate Carbon Metabolism</t>
  </si>
  <si>
    <t xml:space="preserve">AFE_2840</t>
  </si>
  <si>
    <t xml:space="preserve">AFE_2840 (AFE_2840)</t>
  </si>
  <si>
    <t xml:space="preserve">AMAOT</t>
  </si>
  <si>
    <t xml:space="preserve">adenosylmethionine-8-amino-7-oxononanoate transaminase</t>
  </si>
  <si>
    <t xml:space="preserve">amet[c] + 8aonn[c]  &lt;=&gt; amob[c] + dann[c] </t>
  </si>
  <si>
    <t xml:space="preserve">2.6.1.62</t>
  </si>
  <si>
    <t xml:space="preserve">AFE_1924</t>
  </si>
  <si>
    <t xml:space="preserve">BioA (AFE_1924)</t>
  </si>
  <si>
    <t xml:space="preserve">BioA</t>
  </si>
  <si>
    <t xml:space="preserve">AMPMS</t>
  </si>
  <si>
    <t xml:space="preserve">Reaction of thiamine biosynthesis protein thiC</t>
  </si>
  <si>
    <t xml:space="preserve">2 h2o[c] + nad[c] + air[c]  -&gt; 3 h[c] + pi[c] + nadh[c] + 2 for[c] + 4ahmmp[c] </t>
  </si>
  <si>
    <t xml:space="preserve">4.1.99.17</t>
  </si>
  <si>
    <t xml:space="preserve">( Cofactor and Prosthetic Group Biosynthesis ) or ( Thiamin biosynthesis )</t>
  </si>
  <si>
    <t xml:space="preserve">AFE_0948</t>
  </si>
  <si>
    <t xml:space="preserve">ThiC (AFE_0948)</t>
  </si>
  <si>
    <t xml:space="preserve">AMPN</t>
  </si>
  <si>
    <t xml:space="preserve">AMP nucleosidase</t>
  </si>
  <si>
    <t xml:space="preserve">h2o[c] + amp[c]  -&gt; ade[c] + r5p[c] </t>
  </si>
  <si>
    <t xml:space="preserve">3.2.2.4</t>
  </si>
  <si>
    <t xml:space="preserve">AMPTASECG</t>
  </si>
  <si>
    <t xml:space="preserve">alanyl aminopeptidase (cys-gly)</t>
  </si>
  <si>
    <t xml:space="preserve">h2o[c] + cgly[c]  &lt;=&gt; cys-L[c] + gly[c] </t>
  </si>
  <si>
    <t xml:space="preserve">3.4.11.2</t>
  </si>
  <si>
    <t xml:space="preserve">AFE_1873</t>
  </si>
  <si>
    <t xml:space="preserve">PepN (AFE_1873)</t>
  </si>
  <si>
    <t xml:space="preserve">PepN</t>
  </si>
  <si>
    <t xml:space="preserve">ANPRT</t>
  </si>
  <si>
    <t xml:space="preserve">anthranilate phosphoribosyltransferase</t>
  </si>
  <si>
    <t xml:space="preserve">anth[c] + prpp[c]  -&gt; ppi[c] + pran[c] </t>
  </si>
  <si>
    <t xml:space="preserve">2.4.2.18</t>
  </si>
  <si>
    <t xml:space="preserve">Tyrosine, Tryptophan, and Phenylalanine Metabolism</t>
  </si>
  <si>
    <t xml:space="preserve">AFE_3243</t>
  </si>
  <si>
    <t xml:space="preserve">TrpD (AFE_3243)</t>
  </si>
  <si>
    <t xml:space="preserve">TrpD</t>
  </si>
  <si>
    <t xml:space="preserve">ANSYN</t>
  </si>
  <si>
    <t xml:space="preserve">Anthranilate synthase</t>
  </si>
  <si>
    <t xml:space="preserve">chor[c] + gln-L[c]  &lt;=&gt; h[c] + glu-L[c] + pyr[c] + anth[c] </t>
  </si>
  <si>
    <t xml:space="preserve">4.1.3.27</t>
  </si>
  <si>
    <t xml:space="preserve">(AFE_3244 and AFE_3245)</t>
  </si>
  <si>
    <t xml:space="preserve">( PabA (AFE_3244) and TrpE (AFE_3245) )</t>
  </si>
  <si>
    <t xml:space="preserve">( PabA and  TrpE )</t>
  </si>
  <si>
    <t xml:space="preserve">AOXS</t>
  </si>
  <si>
    <t xml:space="preserve">8-amino-7-oxononanoate synthase</t>
  </si>
  <si>
    <t xml:space="preserve">h[c] + ala-L[c] + pmcoa[c]  &lt;=&gt; co2[c] + coa[c] + 8aonn[c] </t>
  </si>
  <si>
    <t xml:space="preserve">2.3.1.47</t>
  </si>
  <si>
    <t xml:space="preserve">(Cofactor and Prosthetic Group Biosynthesis) or (Biotin Biosynthesis)</t>
  </si>
  <si>
    <t xml:space="preserve">(AFE_3011 or AFE_0243)</t>
  </si>
  <si>
    <t xml:space="preserve">( AFE_3011 (AFE_3011) ) or ( BioF (AFE_0243) )</t>
  </si>
  <si>
    <t xml:space="preserve">( AFE_3011 ) or ( BioF )</t>
  </si>
  <si>
    <t xml:space="preserve">APRAUR</t>
  </si>
  <si>
    <t xml:space="preserve">5-amino-6-(5-phosphoribosylamino)uracil reductase</t>
  </si>
  <si>
    <t xml:space="preserve">nadp[c] + 5a65pilamura[c]  &lt;=&gt; h[c] + nadph[c] + 5apru[c] </t>
  </si>
  <si>
    <t xml:space="preserve">1.1.1.193</t>
  </si>
  <si>
    <t xml:space="preserve">( Cofactor and Prosthetic Group Biosynthesis ) or ( Flavin biosynthesis )</t>
  </si>
  <si>
    <t xml:space="preserve">AFE_0297</t>
  </si>
  <si>
    <t xml:space="preserve">RibD (AFE_0297)</t>
  </si>
  <si>
    <t xml:space="preserve">RibD</t>
  </si>
  <si>
    <t xml:space="preserve">AREDO</t>
  </si>
  <si>
    <t xml:space="preserve">acireductone dioxygenase</t>
  </si>
  <si>
    <t xml:space="preserve">o2[c] + 12dhy3meten[c]  -&gt; h[c] + for[c] + 2kmb[c] </t>
  </si>
  <si>
    <t xml:space="preserve">1.13.11.54</t>
  </si>
  <si>
    <t xml:space="preserve">AFE_0433</t>
  </si>
  <si>
    <t xml:space="preserve">AFE_0433 (AFE_0433)</t>
  </si>
  <si>
    <t xml:space="preserve">ARGDC</t>
  </si>
  <si>
    <t xml:space="preserve">Arginine decarboxylase</t>
  </si>
  <si>
    <t xml:space="preserve">h[c] + arg-L[c]  &lt;=&gt; co2[c] + agm[c] </t>
  </si>
  <si>
    <t xml:space="preserve">4.1.1.19</t>
  </si>
  <si>
    <t xml:space="preserve">AFE_1417</t>
  </si>
  <si>
    <t xml:space="preserve">SpeA (AFE_1417)</t>
  </si>
  <si>
    <t xml:space="preserve">SpeA</t>
  </si>
  <si>
    <t xml:space="preserve">ARGSL</t>
  </si>
  <si>
    <t xml:space="preserve">argininosuccinate lyase</t>
  </si>
  <si>
    <t xml:space="preserve">argsuc[c]  -&gt; arg-L[c] + fum[c] </t>
  </si>
  <si>
    <t xml:space="preserve">4.3.2.1</t>
  </si>
  <si>
    <t xml:space="preserve">AFE_3277</t>
  </si>
  <si>
    <t xml:space="preserve">ArgH (AFE_3277)</t>
  </si>
  <si>
    <t xml:space="preserve">ArgH</t>
  </si>
  <si>
    <t xml:space="preserve">ARGSS</t>
  </si>
  <si>
    <t xml:space="preserve">argininosuccinate synthase</t>
  </si>
  <si>
    <t xml:space="preserve">atp[c] + asp-L[c] + citr-L[c]  -&gt; h[c] + ppi[c] + amp[c] + argsuc[c] </t>
  </si>
  <si>
    <t xml:space="preserve">6.3.4.5</t>
  </si>
  <si>
    <t xml:space="preserve">AFE_0404</t>
  </si>
  <si>
    <t xml:space="preserve">ArgG (AFE_0404)</t>
  </si>
  <si>
    <t xml:space="preserve">ArgG</t>
  </si>
  <si>
    <t xml:space="preserve">ASAD</t>
  </si>
  <si>
    <t xml:space="preserve">aspartate-semialdehyde dehydrogenase</t>
  </si>
  <si>
    <t xml:space="preserve">pi[c] + nadp[c] + aspsa[c]  &lt;=&gt; h[c] + 4pasp[c] + nadph[c] </t>
  </si>
  <si>
    <t xml:space="preserve">1.2.1.11</t>
  </si>
  <si>
    <t xml:space="preserve">Threonine and Lysine Metabolism</t>
  </si>
  <si>
    <t xml:space="preserve">AFE_2074</t>
  </si>
  <si>
    <t xml:space="preserve">Asd (AFE_2074)</t>
  </si>
  <si>
    <t xml:space="preserve">Asd</t>
  </si>
  <si>
    <t xml:space="preserve">ASNS1</t>
  </si>
  <si>
    <t xml:space="preserve">asparagine synthase (glutamine-hydrolysing)</t>
  </si>
  <si>
    <t xml:space="preserve">h2o[c] + atp[c] + asp-L[c] + gln-L[c]  -&gt; h[c] + glu-L[c] + ppi[c] + asn-L[c] + amp[c] </t>
  </si>
  <si>
    <t xml:space="preserve">6.3.5.4</t>
  </si>
  <si>
    <t xml:space="preserve">AFE_1353</t>
  </si>
  <si>
    <t xml:space="preserve">AsnB (AFE_1353)</t>
  </si>
  <si>
    <t xml:space="preserve">AsnB</t>
  </si>
  <si>
    <t xml:space="preserve">ASP1DC</t>
  </si>
  <si>
    <t xml:space="preserve">aspartate 1-decarboxylase</t>
  </si>
  <si>
    <t xml:space="preserve">h[c] + asp-L[c]  -&gt; co2[c] + ala-B[c] </t>
  </si>
  <si>
    <t xml:space="preserve">4.1.1.11</t>
  </si>
  <si>
    <t xml:space="preserve">AFE_3089</t>
  </si>
  <si>
    <t xml:space="preserve">PanD (AFE_3089)</t>
  </si>
  <si>
    <t xml:space="preserve">PanD</t>
  </si>
  <si>
    <t xml:space="preserve">ASPCT</t>
  </si>
  <si>
    <t xml:space="preserve">aspartate carbamoyltransferase</t>
  </si>
  <si>
    <t xml:space="preserve">asp-L[c] + cbp[c]  -&gt; h[c] + pi[c] + cbasp[c] </t>
  </si>
  <si>
    <t xml:space="preserve">2.1.3.2</t>
  </si>
  <si>
    <t xml:space="preserve">AFE_3059</t>
  </si>
  <si>
    <t xml:space="preserve">PyrB (AFE_3059)</t>
  </si>
  <si>
    <t xml:space="preserve">PyrB</t>
  </si>
  <si>
    <t xml:space="preserve">ASPK</t>
  </si>
  <si>
    <t xml:space="preserve">Aspartate kinase</t>
  </si>
  <si>
    <t xml:space="preserve">atp[c] + asp-L[c]  &lt;=&gt; adp[c] + 4pasp[c] </t>
  </si>
  <si>
    <t xml:space="preserve">2.7.2.4</t>
  </si>
  <si>
    <t xml:space="preserve">AFE_0407</t>
  </si>
  <si>
    <t xml:space="preserve">(AFE_0407(AFE_0407)</t>
  </si>
  <si>
    <t xml:space="preserve">ASPO5</t>
  </si>
  <si>
    <t xml:space="preserve">L-aspartate oxidase</t>
  </si>
  <si>
    <t xml:space="preserve">asp-L[c] + fum[c]  -&gt; h[c] + succ[c] + iasp[c] </t>
  </si>
  <si>
    <t xml:space="preserve">1.4.3.16</t>
  </si>
  <si>
    <t xml:space="preserve">( Cofactor and Prosthetic Group Biosynthesis ) or ( NAD biosynthesis )</t>
  </si>
  <si>
    <t xml:space="preserve">AFE_1392</t>
  </si>
  <si>
    <t xml:space="preserve">NadB (AFE_1392)</t>
  </si>
  <si>
    <t xml:space="preserve">NadB</t>
  </si>
  <si>
    <t xml:space="preserve">ASPO6</t>
  </si>
  <si>
    <t xml:space="preserve">asp-L[c] + o2[c]  -&gt; h[c] + h2o2[c] + iasp[c] </t>
  </si>
  <si>
    <t xml:space="preserve">ASPTA</t>
  </si>
  <si>
    <t xml:space="preserve">aspartate transaminase</t>
  </si>
  <si>
    <t xml:space="preserve">asp-L[c] + akg[c]  &lt;=&gt; glu-L[c] + oaa[c] </t>
  </si>
  <si>
    <t xml:space="preserve">2.6.1.1</t>
  </si>
  <si>
    <t xml:space="preserve">AFE_2022</t>
  </si>
  <si>
    <t xml:space="preserve">AspC (AFE_2022)</t>
  </si>
  <si>
    <t xml:space="preserve">AspC</t>
  </si>
  <si>
    <t xml:space="preserve">ATPM</t>
  </si>
  <si>
    <t xml:space="preserve">ATP maintenance requirement</t>
  </si>
  <si>
    <t xml:space="preserve">h2o[c] + atp[c]  -&gt; h[c] + pi[c] + adp[c] </t>
  </si>
  <si>
    <t xml:space="preserve">Unassigned</t>
  </si>
  <si>
    <t xml:space="preserve">ATPPRT</t>
  </si>
  <si>
    <t xml:space="preserve">ATP phosphoribosyltransferase</t>
  </si>
  <si>
    <t xml:space="preserve">ppi[c] + prbatp[c]  &lt;=&gt; atp[c] + prpp[c] </t>
  </si>
  <si>
    <t xml:space="preserve">2.4.2.17</t>
  </si>
  <si>
    <t xml:space="preserve">Histidine Metabolism</t>
  </si>
  <si>
    <t xml:space="preserve">(AFE_1888 and AFE_3040)</t>
  </si>
  <si>
    <t xml:space="preserve">( HisZ (AFE_1888) and HisG (AFE_3040) )</t>
  </si>
  <si>
    <t xml:space="preserve">( HisZ and HisG )</t>
  </si>
  <si>
    <t xml:space="preserve">ATPS5rpp</t>
  </si>
  <si>
    <t xml:space="preserve">ATP synthase (5 protons for one ATP) (periplasm)</t>
  </si>
  <si>
    <t xml:space="preserve">5 h[p] + pi[c] + adp[c]  -&gt; 4 h[c] + h2o[c] + atp[c] </t>
  </si>
  <si>
    <t xml:space="preserve">Oxidative Phosphorylation</t>
  </si>
  <si>
    <t xml:space="preserve">(AFE_3205 and AFE_3209 and AFE_3202 and AFE_3203 and AFE_3208 and AFE_3207 and AFE_3204 and AFE_3206)</t>
  </si>
  <si>
    <t xml:space="preserve">( AtpA (AFE_3205) and AtpB (AFE_3209) and AtpC (AFE_3202) and AtpD (AFE_3203) and AtpE (AFE_3208) and AtpF (AFE_3207) and AtpG(AFE_3204) and AtpH (AFE_3206) )</t>
  </si>
  <si>
    <t xml:space="preserve">( AtpA and AtpB and AtpC and AtpD and AtpE and AtpF and AtpG and AtpH )</t>
  </si>
  <si>
    <t xml:space="preserve">Afe_biomass_mc507_WT_139p0M</t>
  </si>
  <si>
    <t xml:space="preserve">Afe biomass objective function (mc507) - WT - with 139 GAM estimate</t>
  </si>
  <si>
    <t xml:space="preserve">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+ 0.15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 </t>
  </si>
  <si>
    <t xml:space="preserve">Exchange</t>
  </si>
  <si>
    <t xml:space="preserve">BDGK</t>
  </si>
  <si>
    <t xml:space="preserve">Glucokinase </t>
  </si>
  <si>
    <t xml:space="preserve">atp[c] + glc-B[c]  &lt;=&gt; h[c] + adp[c] + g6p-B[c] </t>
  </si>
  <si>
    <t xml:space="preserve">2.7.1.2</t>
  </si>
  <si>
    <t xml:space="preserve">Glycolysis/Gluconeogenesis</t>
  </si>
  <si>
    <t xml:space="preserve">BHAH1</t>
  </si>
  <si>
    <t xml:space="preserve">beta-hydroxyacyl-(acyl-carrier-protein) dehydratase</t>
  </si>
  <si>
    <t xml:space="preserve">3hydbutACP[c]  &lt;=&gt; h2o[c] + but2eACP[c] </t>
  </si>
  <si>
    <t xml:space="preserve">4.2.1.-</t>
  </si>
  <si>
    <t xml:space="preserve">AFE_1455</t>
  </si>
  <si>
    <t xml:space="preserve">FabZ (AFE_1455)</t>
  </si>
  <si>
    <t xml:space="preserve">FabZ</t>
  </si>
  <si>
    <t xml:space="preserve">BHAH10</t>
  </si>
  <si>
    <t xml:space="preserve">3hhexACP[c]  &lt;=&gt; h2o[c] + thex2eACP[c] </t>
  </si>
  <si>
    <t xml:space="preserve">BHAH11</t>
  </si>
  <si>
    <t xml:space="preserve">3hoctACP[c]  &lt;=&gt; h2o[c] + toct2eACP[c] </t>
  </si>
  <si>
    <t xml:space="preserve">BHAH12</t>
  </si>
  <si>
    <t xml:space="preserve">3hdecACP[c]  &lt;=&gt; h2o[c] + tdec2eACP[c] </t>
  </si>
  <si>
    <t xml:space="preserve">BHAH13</t>
  </si>
  <si>
    <t xml:space="preserve">3hddecACP[c]  &lt;=&gt; h2o[c] + tddec2eACP[c] </t>
  </si>
  <si>
    <t xml:space="preserve">BHAH14</t>
  </si>
  <si>
    <t xml:space="preserve">3hmrsACP[c]  &lt;=&gt; h2o[c] + tmrs2eACP[c] </t>
  </si>
  <si>
    <t xml:space="preserve">BHAH15</t>
  </si>
  <si>
    <t xml:space="preserve">3hpalmACP[c]  &lt;=&gt; h2o[c] + tpalm2eACP[c] </t>
  </si>
  <si>
    <t xml:space="preserve">BHAH16</t>
  </si>
  <si>
    <t xml:space="preserve">3hoctaACP[c]  &lt;=&gt; h2o[c] + 2tadeACP[c] </t>
  </si>
  <si>
    <t xml:space="preserve">BHAH17</t>
  </si>
  <si>
    <t xml:space="preserve">R-3hyeicACP[c]  &lt;=&gt; h2o[c] + 2teicACP[c] </t>
  </si>
  <si>
    <t xml:space="preserve">BHAH2</t>
  </si>
  <si>
    <t xml:space="preserve">chydodeACP[c]  &lt;=&gt; h2o[c] + c2tdodeACP[c] </t>
  </si>
  <si>
    <t xml:space="preserve">BHAH3</t>
  </si>
  <si>
    <t xml:space="preserve">chytedeACP[c]  &lt;=&gt; h2o[c] + c2ttedeACP[c] </t>
  </si>
  <si>
    <t xml:space="preserve">BHAH4</t>
  </si>
  <si>
    <t xml:space="preserve">chyhecdeACP[c]  &lt;=&gt; h2o[c] + c2thedeACP[c] </t>
  </si>
  <si>
    <t xml:space="preserve">BHAH5</t>
  </si>
  <si>
    <t xml:space="preserve">chyocdeACP[c]  &lt;=&gt; h2o[c] + c2tocdeACP[c] </t>
  </si>
  <si>
    <t xml:space="preserve">BHAH6</t>
  </si>
  <si>
    <t xml:space="preserve">R-3hptACP[c]  &lt;=&gt; h2o[c] + 2tpenACP[c] </t>
  </si>
  <si>
    <t xml:space="preserve">BHAH7</t>
  </si>
  <si>
    <t xml:space="preserve">v3haACP[c]  &lt;=&gt; 5 h2o[c] + vtenACP[c] </t>
  </si>
  <si>
    <t xml:space="preserve">BHAH8</t>
  </si>
  <si>
    <t xml:space="preserve">R-3hyhepACP[c]  &lt;=&gt; h2o[c] + thepcaACP[c] </t>
  </si>
  <si>
    <t xml:space="preserve">BHAH9</t>
  </si>
  <si>
    <t xml:space="preserve">3hynonACP[c]  &lt;=&gt; h2o[c] + noncaACP[c] </t>
  </si>
  <si>
    <t xml:space="preserve">BILG</t>
  </si>
  <si>
    <t xml:space="preserve">Biotin--[acetyl-CoA-carboxylase] ligase</t>
  </si>
  <si>
    <t xml:space="preserve">atp[c] + btn[c] + bccp[c]  -&gt; h[c] + ppi[c] + bcCP_AFE[c] + amp[c] </t>
  </si>
  <si>
    <t xml:space="preserve">6.3.4.15</t>
  </si>
  <si>
    <t xml:space="preserve">AFE_0453</t>
  </si>
  <si>
    <t xml:space="preserve">BirA (AFE_0453)</t>
  </si>
  <si>
    <t xml:space="preserve">BirA</t>
  </si>
  <si>
    <t xml:space="preserve">BIOC1</t>
  </si>
  <si>
    <t xml:space="preserve">Biotin carboxylase</t>
  </si>
  <si>
    <t xml:space="preserve">accoa[c] + bcCPco2_AFE[c]  -&gt; h[c] + malcoa[c] + 2 bcCP_AFE[c] </t>
  </si>
  <si>
    <t xml:space="preserve">(AFE_1462 and AFE_2067 and AFE_0196 and AFE_0195)</t>
  </si>
  <si>
    <t xml:space="preserve">( AccA (AFE_1462) and AccD (AFE_2067) and AccB (AFE_0196) and AccC (AFE_0195) )</t>
  </si>
  <si>
    <t xml:space="preserve">( AccA and AccD and AccB and AccC )</t>
  </si>
  <si>
    <t xml:space="preserve">BIOC2</t>
  </si>
  <si>
    <t xml:space="preserve">atp[c] + hco3[c] + 2 bcCP_AFE[c]  -&gt; pi[c] + adp[c] + bcCPco2_AFE[c] </t>
  </si>
  <si>
    <t xml:space="preserve">6.3.4.14</t>
  </si>
  <si>
    <t xml:space="preserve">(AFE_0196 and AFE_0195)</t>
  </si>
  <si>
    <t xml:space="preserve">( AccB (AFE_0196) and AccC (AFE_0195) )</t>
  </si>
  <si>
    <t xml:space="preserve">( AccB and AccC )</t>
  </si>
  <si>
    <t xml:space="preserve">BIOMASStex</t>
  </si>
  <si>
    <t xml:space="preserve">bio[p]  &lt;=&gt; bio[e] </t>
  </si>
  <si>
    <t xml:space="preserve">BIOMASStpp</t>
  </si>
  <si>
    <t xml:space="preserve">bio[c]  &lt;=&gt; bio[p] </t>
  </si>
  <si>
    <t xml:space="preserve">BPNT</t>
  </si>
  <si>
    <t xml:space="preserve">3,5-bisphosphate nucleotidase</t>
  </si>
  <si>
    <t xml:space="preserve">h2o[c] + pap[c]  -&gt; pi[c] + amp[c] </t>
  </si>
  <si>
    <t xml:space="preserve">3.1.3.7</t>
  </si>
  <si>
    <t xml:space="preserve">AFE_2973</t>
  </si>
  <si>
    <t xml:space="preserve">CysQ (AFE_2973)</t>
  </si>
  <si>
    <t xml:space="preserve">CysQ</t>
  </si>
  <si>
    <t xml:space="preserve">BTS5</t>
  </si>
  <si>
    <t xml:space="preserve">Biotin synthase</t>
  </si>
  <si>
    <t xml:space="preserve">2 amet[c] + dtbt[c] + RSH[c]  -&gt; h[c] + 2 met-L[c] + btn[c] + 2 dad-5[c] + R[c] </t>
  </si>
  <si>
    <t xml:space="preserve">2.8.1.6</t>
  </si>
  <si>
    <t xml:space="preserve">AFE_0259</t>
  </si>
  <si>
    <t xml:space="preserve">BioB (AFE_0259)</t>
  </si>
  <si>
    <t xml:space="preserve">BioB</t>
  </si>
  <si>
    <t xml:space="preserve">CA2tex</t>
  </si>
  <si>
    <t xml:space="preserve">ca2 transport (citoplasm)</t>
  </si>
  <si>
    <t xml:space="preserve">ca2[e]  &lt;=&gt; ca2[p] </t>
  </si>
  <si>
    <t xml:space="preserve">CA2tpp</t>
  </si>
  <si>
    <t xml:space="preserve">Na+/Ca+2 symporter (periplasm)</t>
  </si>
  <si>
    <t xml:space="preserve">ca2[p]  -&gt; ca2[c] + na1[p] </t>
  </si>
  <si>
    <t xml:space="preserve">AFE_0587</t>
  </si>
  <si>
    <t xml:space="preserve">AFE_0587 (AFE_0587)</t>
  </si>
  <si>
    <t xml:space="preserve">CAT</t>
  </si>
  <si>
    <t xml:space="preserve">catalase</t>
  </si>
  <si>
    <t xml:space="preserve">2 h2o2[c]  &lt;=&gt; 2 h2o[c] + o2[c] </t>
  </si>
  <si>
    <t xml:space="preserve">1.11.1.6</t>
  </si>
  <si>
    <t xml:space="preserve">CBPS</t>
  </si>
  <si>
    <t xml:space="preserve">carbamoyl-phosphate synthase (glutamine-hydrolysing)</t>
  </si>
  <si>
    <t xml:space="preserve">h2o[c] + 2 atp[c] + gln-L[c] + hco3[c]  -&gt; 2 h[c] + glu-L[c] + pi[c] + 2 adp[c] + cbp[c] </t>
  </si>
  <si>
    <t xml:space="preserve">6.3.5.5</t>
  </si>
  <si>
    <t xml:space="preserve">(AFE_0640 and AFE_0639)</t>
  </si>
  <si>
    <t xml:space="preserve">( CarA (AFE_0640) and CarB (AFE_0639) )</t>
  </si>
  <si>
    <t xml:space="preserve">( CarA and CarB )</t>
  </si>
  <si>
    <t xml:space="preserve">CDPMEK</t>
  </si>
  <si>
    <t xml:space="preserve">4-(cytidine 5-diphospho)-2-C-methyl-D-erythritol kinase</t>
  </si>
  <si>
    <t xml:space="preserve">atp[c] + 4c2me[c]  &lt;=&gt; h[c] + adp[c] + 2p4c2me[c] </t>
  </si>
  <si>
    <t xml:space="preserve">2.7.1.148</t>
  </si>
  <si>
    <t xml:space="preserve">(Cofactor and Prosthetic Group Biosynthesis) or (Methylerythritol phosphate pathway)</t>
  </si>
  <si>
    <t xml:space="preserve">AFE_2764</t>
  </si>
  <si>
    <t xml:space="preserve">IspE (AFE_2764)</t>
  </si>
  <si>
    <t xml:space="preserve">IspE</t>
  </si>
  <si>
    <t xml:space="preserve">CFAS190</t>
  </si>
  <si>
    <t xml:space="preserve">cyclopropane-fatty-acyl-phospholipid synthase</t>
  </si>
  <si>
    <t xml:space="preserve">amet[c] + noncaACP[c]  -&gt; h[c] + c190cACP[c] + ahcys[c] </t>
  </si>
  <si>
    <t xml:space="preserve">2.1.1.79</t>
  </si>
  <si>
    <t xml:space="preserve">(Glycerophospholipid Metabolism) or (Phospholipid synthesis)</t>
  </si>
  <si>
    <t xml:space="preserve">AFE_2929</t>
  </si>
  <si>
    <t xml:space="preserve">Cfa (AFE_2929)</t>
  </si>
  <si>
    <t xml:space="preserve">Cfa</t>
  </si>
  <si>
    <t xml:space="preserve">CHORM</t>
  </si>
  <si>
    <t xml:space="preserve">chorismate mutase</t>
  </si>
  <si>
    <t xml:space="preserve">chor[c]  &lt;=&gt; pphn[c] </t>
  </si>
  <si>
    <t xml:space="preserve">5.4.99.5</t>
  </si>
  <si>
    <t xml:space="preserve">AFE_0897</t>
  </si>
  <si>
    <t xml:space="preserve">PheA (AFE_0897)</t>
  </si>
  <si>
    <t xml:space="preserve">PheA</t>
  </si>
  <si>
    <t xml:space="preserve">CHORS</t>
  </si>
  <si>
    <t xml:space="preserve">chorismate synthase</t>
  </si>
  <si>
    <t xml:space="preserve">3psme[c]  -&gt; pi[c] + chor[c] </t>
  </si>
  <si>
    <t xml:space="preserve">4.2.3.5</t>
  </si>
  <si>
    <t xml:space="preserve">AFE_1972</t>
  </si>
  <si>
    <t xml:space="preserve">AroC (AFE_1972)</t>
  </si>
  <si>
    <t xml:space="preserve">AroC</t>
  </si>
  <si>
    <t xml:space="preserve">CHRPL</t>
  </si>
  <si>
    <t xml:space="preserve">Chorismate pyruvate lyase</t>
  </si>
  <si>
    <t xml:space="preserve">chor[c]  &lt;=&gt; pyr[c] + 4hbz[c] </t>
  </si>
  <si>
    <t xml:space="preserve">4.1.3.40</t>
  </si>
  <si>
    <t xml:space="preserve">(Ubiquinone Synthesis) or (Cofactor and Prosthetic Group Biosynthesis)</t>
  </si>
  <si>
    <t xml:space="preserve">AFE_0593 </t>
  </si>
  <si>
    <t xml:space="preserve">AFE_0593 (AFE_0593 )</t>
  </si>
  <si>
    <t xml:space="preserve">CLPNS120</t>
  </si>
  <si>
    <t xml:space="preserve">cardiolipin synthase</t>
  </si>
  <si>
    <t xml:space="preserve">2 pg120[c]  &lt;=&gt; clpn120[c] + glyc[c] </t>
  </si>
  <si>
    <t xml:space="preserve">2.7.8.-</t>
  </si>
  <si>
    <t xml:space="preserve">(Glycerophospholipid Metabolism) or (Phospholipid synthesis) or (Cardiolipin Biosynthesis)</t>
  </si>
  <si>
    <t xml:space="preserve">AFE_1740</t>
  </si>
  <si>
    <t xml:space="preserve">AFE_1740 (AFE_1740)</t>
  </si>
  <si>
    <t xml:space="preserve">CPPPGO1</t>
  </si>
  <si>
    <t xml:space="preserve">coproporphyrinogen oxidase (O2 required)</t>
  </si>
  <si>
    <t xml:space="preserve">2 h[c] + o2[c] + cpppg3[c]  &lt;=&gt; 2 h2o[c] + 2 co2[c] + pppg9[c] </t>
  </si>
  <si>
    <t xml:space="preserve">1.3.3.3</t>
  </si>
  <si>
    <t xml:space="preserve">(Cofactor and Prosthetic Group Biosynthesis) or (Heme biosynthesis)</t>
  </si>
  <si>
    <t xml:space="preserve">AFE_2263</t>
  </si>
  <si>
    <t xml:space="preserve">HemF (AFE_2263)</t>
  </si>
  <si>
    <t xml:space="preserve">HemF</t>
  </si>
  <si>
    <t xml:space="preserve">CPPPGO2</t>
  </si>
  <si>
    <t xml:space="preserve">Oxygen Independent coproporphyrinogen-III oxidase</t>
  </si>
  <si>
    <t xml:space="preserve">2 amet[c] + cpppg3[c]  &lt;=&gt; 2 co2[c] + 2 met-L[c] + 2 dad-5[c] + pppg9[c] </t>
  </si>
  <si>
    <t xml:space="preserve">1.3.99.22</t>
  </si>
  <si>
    <t xml:space="preserve">(AFE_0134 or AFE_2346)</t>
  </si>
  <si>
    <t xml:space="preserve">( HemN (AFE_0134) ) or ( AFE_2346 (AFE_2346) )</t>
  </si>
  <si>
    <t xml:space="preserve">( HemN ) or ( AFE_2346 )</t>
  </si>
  <si>
    <t xml:space="preserve">CS</t>
  </si>
  <si>
    <t xml:space="preserve">citrate synthase</t>
  </si>
  <si>
    <t xml:space="preserve">h2o[c] + accoa[c] + oaa[c]  -&gt; h[c] + coa[c] + cit[c] </t>
  </si>
  <si>
    <t xml:space="preserve">2.3.3.1</t>
  </si>
  <si>
    <t xml:space="preserve">AFE_3065</t>
  </si>
  <si>
    <t xml:space="preserve">CitZ (AFE_3065)</t>
  </si>
  <si>
    <t xml:space="preserve">CitZ</t>
  </si>
  <si>
    <t xml:space="preserve">CSND</t>
  </si>
  <si>
    <t xml:space="preserve">Cytosine deaminase</t>
  </si>
  <si>
    <t xml:space="preserve">h[c] + h2o[c] + csn[c]  -&gt; nh4[c] + ura[c] </t>
  </si>
  <si>
    <t xml:space="preserve">3.5.4.1</t>
  </si>
  <si>
    <t xml:space="preserve">CTPS2</t>
  </si>
  <si>
    <t xml:space="preserve">CTP synthase (glutamine)</t>
  </si>
  <si>
    <t xml:space="preserve">h2o[c] + atp[c] + gln-L[c] + utp[c]  &lt;=&gt; 2 h[c] + glu-L[c] + pi[c] + adp[c] + ctp[c] </t>
  </si>
  <si>
    <t xml:space="preserve">6.3.4.2</t>
  </si>
  <si>
    <t xml:space="preserve">AFE_0847</t>
  </si>
  <si>
    <t xml:space="preserve">PyrG (AFE_0847)</t>
  </si>
  <si>
    <t xml:space="preserve">PyrG</t>
  </si>
  <si>
    <t xml:space="preserve">CU2tex</t>
  </si>
  <si>
    <t xml:space="preserve">cu2 transport</t>
  </si>
  <si>
    <t xml:space="preserve">cu2[e]  &lt;=&gt; cu2[p] </t>
  </si>
  <si>
    <t xml:space="preserve">CU2tpp</t>
  </si>
  <si>
    <t xml:space="preserve">metalion trabsporter, NRAMP family</t>
  </si>
  <si>
    <t xml:space="preserve">cu2[p]  -&gt; cu2[c] </t>
  </si>
  <si>
    <t xml:space="preserve">(AFE_0920 or AFE_0105)</t>
  </si>
  <si>
    <t xml:space="preserve">( AFE_0920 (AFE_0920) ) or ( AFE_0105 (AFE_0105) )</t>
  </si>
  <si>
    <t xml:space="preserve">( AFE_0920 ) or ( AFE_0105 )</t>
  </si>
  <si>
    <t xml:space="preserve">CYSDSS</t>
  </si>
  <si>
    <t xml:space="preserve">Cysteine desulfurase IscS </t>
  </si>
  <si>
    <t xml:space="preserve">h[c] + cys-L[c] + iscscys[c]  -&gt; ala-L[c] + iscssulfcys[c] </t>
  </si>
  <si>
    <t xml:space="preserve">2.8.1.7</t>
  </si>
  <si>
    <t xml:space="preserve">(AFE_0674 and AFE_1537 and AFE_1507 and AFE_0673)</t>
  </si>
  <si>
    <t xml:space="preserve">( IscU (AFE_0674) and IscS1 (AFE_1537) and IscS2 (AFE_1507) and IscS3 (AFE_0673) )</t>
  </si>
  <si>
    <t xml:space="preserve">( IscU and IscS1 and IscS2 and IscS3 )</t>
  </si>
  <si>
    <t xml:space="preserve">CYSS</t>
  </si>
  <si>
    <t xml:space="preserve">cysteine synthase</t>
  </si>
  <si>
    <t xml:space="preserve">acser[c] + h2s[c]  -&gt; h[c] + ac[c] + cys-L[c] </t>
  </si>
  <si>
    <t xml:space="preserve">2.5.1.47</t>
  </si>
  <si>
    <t xml:space="preserve">AFE_2832</t>
  </si>
  <si>
    <t xml:space="preserve">CysM (AFE_2832)</t>
  </si>
  <si>
    <t xml:space="preserve">CysM</t>
  </si>
  <si>
    <t xml:space="preserve">CYT1</t>
  </si>
  <si>
    <t xml:space="preserve">cytochrome c552/rusticyanin complex</t>
  </si>
  <si>
    <t xml:space="preserve">rustred[p] + cytcco[p]  -&gt; rust[p] + cytccr[p] </t>
  </si>
  <si>
    <t xml:space="preserve">(AFE_3152 and AFE_3146)</t>
  </si>
  <si>
    <t xml:space="preserve">( Cyc1 (AFE_3152) and Rus (AFE_3146))</t>
  </si>
  <si>
    <t xml:space="preserve">( Cyc1 and Rus )</t>
  </si>
  <si>
    <t xml:space="preserve">CYT2</t>
  </si>
  <si>
    <t xml:space="preserve">cytochrome c/rusticyanin complex</t>
  </si>
  <si>
    <t xml:space="preserve">rust[p] + 2 fe2[e]  -&gt; rustred[p] + 2 fe3[e] </t>
  </si>
  <si>
    <t xml:space="preserve">(AFE_3153)</t>
  </si>
  <si>
    <t xml:space="preserve">( CycA2 (AFE_3107) and Rus (AFE_3146) )</t>
  </si>
  <si>
    <t xml:space="preserve">( CycA2 and Rus )</t>
  </si>
  <si>
    <t xml:space="preserve">CYTA2</t>
  </si>
  <si>
    <t xml:space="preserve">cytochrome c4/rusticyanin complex</t>
  </si>
  <si>
    <t xml:space="preserve">rustred[p] + cytcAo[p]  -&gt; rust[p] + cytcAr[p] </t>
  </si>
  <si>
    <t xml:space="preserve">(AFE_3107 and AFE_3146)</t>
  </si>
  <si>
    <t xml:space="preserve">( Cyc2 (AFE_3153) and Rus (AFE_3146) )</t>
  </si>
  <si>
    <t xml:space="preserve">( Cyc2 and Rus )</t>
  </si>
  <si>
    <t xml:space="preserve">CYTAA31</t>
  </si>
  <si>
    <t xml:space="preserve">cytochrome c oxidase, aa3-type</t>
  </si>
  <si>
    <t xml:space="preserve">2 h[c] + 0.5 o2[c] + cytccr[p]  -&gt; h2o[c] + cytcco[p] </t>
  </si>
  <si>
    <t xml:space="preserve">1.9.3.1</t>
  </si>
  <si>
    <t xml:space="preserve">(AFE_3149 and AFE_3150 and AFE_3148 and AFE_3147)</t>
  </si>
  <si>
    <t xml:space="preserve">( CoxA (AFE_3149) and CoxB (AFE_3150) and CoxC (AFE_3148) and CoxD (AFE_3147) )</t>
  </si>
  <si>
    <t xml:space="preserve">( CoxA and CoxB and COxC and CoxD )</t>
  </si>
  <si>
    <t xml:space="preserve">CYTAA32</t>
  </si>
  <si>
    <t xml:space="preserve">cytochrome c oxidase, aa3-type (1.3 protons)</t>
  </si>
  <si>
    <t xml:space="preserve">1.3 h[c] + 0.5 o2[c] + etpcycArd[p]  -&gt; 1.3 h[p] + h2o[c] + etpcycAox[p] </t>
  </si>
  <si>
    <t xml:space="preserve">19703284 &amp;&amp; 17911085 </t>
  </si>
  <si>
    <t xml:space="preserve">AFE_0378</t>
  </si>
  <si>
    <t xml:space="preserve">AFE_0378 (AFE_0378)</t>
  </si>
  <si>
    <t xml:space="preserve">CYTBC1</t>
  </si>
  <si>
    <t xml:space="preserve">cytochrome oxidase bc1 (5 protons) (periplasm)</t>
  </si>
  <si>
    <t xml:space="preserve">5 h[p] + q8[c] + cytcAr[p]  -&gt; 5 h[c] + q8h2[c] + cytcAo[p] </t>
  </si>
  <si>
    <t xml:space="preserve">((AFE_3108 and AFE_3109 and AFE_3110 and AFE_3111) or (AFE_2729 and AFE_2730 and AFE_2731))</t>
  </si>
  <si>
    <t xml:space="preserve">( Sdr1 (AFE_3108) and PetA1 (AFE_3109) and PetB1 (AFE_3110) and PetC1 (AFE_3111) ) or ( PetA2 (AFE_2729) and PetB2 (AFE_2730) and PetC2 (AFE_2731)  )</t>
  </si>
  <si>
    <t xml:space="preserve">( Sdr1 and PetA1 and PetB1 and PetC1 ) or ( PetA2 and PetB2 and PetC2 )</t>
  </si>
  <si>
    <t xml:space="preserve">CYTBD</t>
  </si>
  <si>
    <t xml:space="preserve">cytochrome oxidase bd (ubiquinol-8: 1.8 protons) (periplasm)</t>
  </si>
  <si>
    <t xml:space="preserve">1.8 h[c] + q8h2[c] + 0.5 o2[c]  -&gt; 1.8 h[p] + h2o[c] + q8[c] </t>
  </si>
  <si>
    <t xml:space="preserve">(AFE_0955 and AFE_0954)</t>
  </si>
  <si>
    <t xml:space="preserve">( CydA (AFE_0955) and CydB (AFE_0954) )</t>
  </si>
  <si>
    <t xml:space="preserve">( CydA and cydB )</t>
  </si>
  <si>
    <t xml:space="preserve">CYTBO3</t>
  </si>
  <si>
    <t xml:space="preserve">cytochrome oxidase bo3 (ubiquinol-8: 1.8 protons) (periplasm)</t>
  </si>
  <si>
    <t xml:space="preserve">(AFE_0631 and AFE_0632 and AFE_0633 and AFE_0634)</t>
  </si>
  <si>
    <t xml:space="preserve">( CyoA (AFE_0631) and CyoB (AFE_0632) and CyoC (AFE_0633) and CyoD (AFE_0634) )</t>
  </si>
  <si>
    <t xml:space="preserve">( CyoA and CyoB and CyoC and CyoD )</t>
  </si>
  <si>
    <t xml:space="preserve">CYTD</t>
  </si>
  <si>
    <t xml:space="preserve">cytidine deaminase</t>
  </si>
  <si>
    <t xml:space="preserve">h[c] + h2o[c] + cytd[c]  &lt;=&gt; nh4[c] + uri[c] </t>
  </si>
  <si>
    <t xml:space="preserve">3.5.4.5</t>
  </si>
  <si>
    <t xml:space="preserve">CYTDK1</t>
  </si>
  <si>
    <t xml:space="preserve">cytidine kinase (ATP)</t>
  </si>
  <si>
    <t xml:space="preserve">atp[c] + cytd[c]  -&gt; h[c] + adp[c] + cmp[c] </t>
  </si>
  <si>
    <t xml:space="preserve">2.7.1.-</t>
  </si>
  <si>
    <t xml:space="preserve">CYTDK2</t>
  </si>
  <si>
    <t xml:space="preserve">cytidine kinase (GTP)</t>
  </si>
  <si>
    <t xml:space="preserve">gtp[c] + cytd[c]  -&gt; h[c] + cmp[c] + gdp[c] </t>
  </si>
  <si>
    <t xml:space="preserve">CYTK1</t>
  </si>
  <si>
    <t xml:space="preserve">cytidylate kinase (CMP)</t>
  </si>
  <si>
    <t xml:space="preserve">atp[c] + cmp[c]  &lt;=&gt; adp[c] + cdp[c] </t>
  </si>
  <si>
    <t xml:space="preserve">2.7.4.14</t>
  </si>
  <si>
    <t xml:space="preserve">AFE_0902</t>
  </si>
  <si>
    <t xml:space="preserve">CmK (AFE_0902)</t>
  </si>
  <si>
    <t xml:space="preserve">CmK</t>
  </si>
  <si>
    <t xml:space="preserve">CYTK2</t>
  </si>
  <si>
    <t xml:space="preserve">cytidylate kinase (dCMP)</t>
  </si>
  <si>
    <t xml:space="preserve">atp[c] + dcmp[c]  &lt;=&gt; adp[c] + dcdp[c] </t>
  </si>
  <si>
    <t xml:space="preserve">CYTRED</t>
  </si>
  <si>
    <t xml:space="preserve">bc1 complex (0.5 protons)</t>
  </si>
  <si>
    <t xml:space="preserve">0.5 h[p] + q8h2[c] + etpcycAox[p]  -&gt; 0.5 h[c] + q8[c] + etpcycArd[p] </t>
  </si>
  <si>
    <t xml:space="preserve">(AFE_2727 and AFE_2728 and AFE_2729 and AFE_2730 and AFE_2731)</t>
  </si>
  <si>
    <t xml:space="preserve">( CycA-2 (AFE_2727) and Sdr_2 (AFE_2728) and PetA-2 (AFE_2729) and PetB-2 (AFE_2730) and PetC_2 (AFE_2731) )</t>
  </si>
  <si>
    <t xml:space="preserve">( CycA-2 and Sdr_2 and PetA-2 and PetB-2 and PetC_2 )</t>
  </si>
  <si>
    <t xml:space="preserve">DADA</t>
  </si>
  <si>
    <t xml:space="preserve">Deoxyadenosine deaminase</t>
  </si>
  <si>
    <t xml:space="preserve">h[c] + h2o[c] + dad-2[c]  -&gt; nh4[c] + din[c] </t>
  </si>
  <si>
    <t xml:space="preserve">DAPDC</t>
  </si>
  <si>
    <t xml:space="preserve">diaminopimelate decarboxylase</t>
  </si>
  <si>
    <t xml:space="preserve">h[c] + 26dap-M[c]  &lt;=&gt; co2[c] + lys-L[c] </t>
  </si>
  <si>
    <t xml:space="preserve">4.1.1.20</t>
  </si>
  <si>
    <t xml:space="preserve">AFE_3279</t>
  </si>
  <si>
    <t xml:space="preserve">LysA (AFE_3279)</t>
  </si>
  <si>
    <t xml:space="preserve">LysA</t>
  </si>
  <si>
    <t xml:space="preserve">DAPE</t>
  </si>
  <si>
    <t xml:space="preserve">diaminopimelate epimerase</t>
  </si>
  <si>
    <t xml:space="preserve">26dap-LL[c]  &lt;=&gt; 26dap-M[c] </t>
  </si>
  <si>
    <t xml:space="preserve">5.1.1.7</t>
  </si>
  <si>
    <t xml:space="preserve">AFE_2743</t>
  </si>
  <si>
    <t xml:space="preserve">DapF (AFE_2743)</t>
  </si>
  <si>
    <t xml:space="preserve">DapF</t>
  </si>
  <si>
    <t xml:space="preserve">DB4PS</t>
  </si>
  <si>
    <t xml:space="preserve">3,4-Dihydroxy-2-butanone-4-phosphate synthase</t>
  </si>
  <si>
    <t xml:space="preserve">ru5p-D[c]  &lt;=&gt; h[c] + for[c] + db4p[c] </t>
  </si>
  <si>
    <t xml:space="preserve">4.1.99.12</t>
  </si>
  <si>
    <t xml:space="preserve">(AFE_1494 or AFE_0299)</t>
  </si>
  <si>
    <t xml:space="preserve">( RibB (AFE_1494) ) or ( RibBA (AFE_0299) )</t>
  </si>
  <si>
    <t xml:space="preserve">( RibB (AFE_1494) ) or  RibBA )</t>
  </si>
  <si>
    <t xml:space="preserve">DBTS</t>
  </si>
  <si>
    <t xml:space="preserve">dethiobiotin synthase</t>
  </si>
  <si>
    <t xml:space="preserve">atp[c] + co2[c] + dann[c]  &lt;=&gt; 3 h[c] + pi[c] + adp[c] + dtbt[c] </t>
  </si>
  <si>
    <t xml:space="preserve">6.3.3.3</t>
  </si>
  <si>
    <t xml:space="preserve">(AFE_1675 or AFE_0246)</t>
  </si>
  <si>
    <t xml:space="preserve">( BioD1 (AFE_1675) ) or ( BioD2 (AFE_0246) )</t>
  </si>
  <si>
    <t xml:space="preserve">( BioD1 ) or ( BioD2 )</t>
  </si>
  <si>
    <t xml:space="preserve">DCTPD</t>
  </si>
  <si>
    <t xml:space="preserve">dCTP deaminase</t>
  </si>
  <si>
    <t xml:space="preserve">h[c] + h2o[c] + dctp[c]  -&gt; nh4[c] + dutp[c] </t>
  </si>
  <si>
    <t xml:space="preserve">3.5.4.13</t>
  </si>
  <si>
    <t xml:space="preserve">AFE_2660</t>
  </si>
  <si>
    <t xml:space="preserve">Dcd (AFE_2660)</t>
  </si>
  <si>
    <t xml:space="preserve">Dcd</t>
  </si>
  <si>
    <t xml:space="preserve">DCYTD</t>
  </si>
  <si>
    <t xml:space="preserve">deoxycytidine deaminase</t>
  </si>
  <si>
    <t xml:space="preserve">h[c] + h2o[c] + dcyt[c]  -&gt; nh4[c] + duri[c] </t>
  </si>
  <si>
    <t xml:space="preserve">3.5.4.14</t>
  </si>
  <si>
    <t xml:space="preserve">AFE_0741</t>
  </si>
  <si>
    <t xml:space="preserve">AFE_0741 (AFE_0741)</t>
  </si>
  <si>
    <t xml:space="preserve">DDGPA</t>
  </si>
  <si>
    <t xml:space="preserve">2-keto-3-deoxy-6-phosphogluconate aldolase </t>
  </si>
  <si>
    <t xml:space="preserve">2ddg6p[c]  -&gt; pyr[c] + g3p[c] </t>
  </si>
  <si>
    <t xml:space="preserve">Pentose Phosphate Pathway</t>
  </si>
  <si>
    <t xml:space="preserve">AFE_1816</t>
  </si>
  <si>
    <t xml:space="preserve">PpsA (AFE_1816)</t>
  </si>
  <si>
    <t xml:space="preserve">PpsA</t>
  </si>
  <si>
    <t xml:space="preserve">DDPA</t>
  </si>
  <si>
    <t xml:space="preserve">2-dehydro-3-deoxyphosphoheptonate aldolase</t>
  </si>
  <si>
    <t xml:space="preserve">h2o[c] + pep[c] + e4p[c]  -&gt; pi[c] + 2dda7p[c] </t>
  </si>
  <si>
    <t xml:space="preserve">2.5.1.54</t>
  </si>
  <si>
    <t xml:space="preserve">(AFE_2671 or AFE_0899)</t>
  </si>
  <si>
    <t xml:space="preserve">( AFE_2671 (AFE_2671) ) or ( AFE_0899 (AFE_0899) )</t>
  </si>
  <si>
    <t xml:space="preserve">( AFE_2671 ) or ( AFE_0899 )</t>
  </si>
  <si>
    <t xml:space="preserve">DGAMK</t>
  </si>
  <si>
    <t xml:space="preserve">D-Glucosamine Kinase </t>
  </si>
  <si>
    <t xml:space="preserve">h[c] + adp[c] + gam6p[c]  &lt;=&gt; atp[c] + gam[c] </t>
  </si>
  <si>
    <t xml:space="preserve">DGPE</t>
  </si>
  <si>
    <t xml:space="preserve">D-glucose-6-phosphate 1-epimerase</t>
  </si>
  <si>
    <t xml:space="preserve">g6p-A[c]  &lt;=&gt; g6p-B[c] </t>
  </si>
  <si>
    <t xml:space="preserve">5.1.3.15</t>
  </si>
  <si>
    <t xml:space="preserve">DHAD1</t>
  </si>
  <si>
    <t xml:space="preserve">dihydroxy-acid dehydratase (2,3-dihydroxy-3-methylbutanoate)</t>
  </si>
  <si>
    <t xml:space="preserve">23dhmb[c]  -&gt; h2o[c] + 3mob[c] </t>
  </si>
  <si>
    <t xml:space="preserve">4.2.1.9</t>
  </si>
  <si>
    <t xml:space="preserve">(AFE_1673 and AFE_0662)</t>
  </si>
  <si>
    <t xml:space="preserve">( IlvD1 (AFE_1673) and IlvD2 (AFE_0662) )</t>
  </si>
  <si>
    <t xml:space="preserve">( IlvD1 and IlvD2 )</t>
  </si>
  <si>
    <t xml:space="preserve">DHAD2</t>
  </si>
  <si>
    <t xml:space="preserve">Dihydroxy-acid dehydratase (2,3-dihydroxy-3-methylpentanoate)</t>
  </si>
  <si>
    <t xml:space="preserve">23dhmp[c]  &lt;=&gt; h2o[c] + 3mop[c] </t>
  </si>
  <si>
    <t xml:space="preserve">(AFE_1673 or AFE_0662)</t>
  </si>
  <si>
    <t xml:space="preserve">( IlvD1 (AFE_1673) ) or ( IlvD2 (AFE_0662) )</t>
  </si>
  <si>
    <t xml:space="preserve">( IlvD1 ) or ( IlvD2 )</t>
  </si>
  <si>
    <t xml:space="preserve">DHDPRy</t>
  </si>
  <si>
    <t xml:space="preserve">dihydrodipicolinate reductase (NADPH)</t>
  </si>
  <si>
    <t xml:space="preserve">nadp[c] + thdp[c]  &lt;=&gt; h[c] + nadph[c] + 23dhdp[c] </t>
  </si>
  <si>
    <t xml:space="preserve">1.3.1.26</t>
  </si>
  <si>
    <t xml:space="preserve">AFE_2663</t>
  </si>
  <si>
    <t xml:space="preserve">DapB (AFE_2663)</t>
  </si>
  <si>
    <t xml:space="preserve">DapB</t>
  </si>
  <si>
    <t xml:space="preserve">DHDPS</t>
  </si>
  <si>
    <t xml:space="preserve">dihydrodipicolinate synthase</t>
  </si>
  <si>
    <t xml:space="preserve">pyr[c] + aspsa[c]  &lt;=&gt; h[c] + 2 h2o[c] + 23dhdp[c] </t>
  </si>
  <si>
    <t xml:space="preserve">4.2.1.52</t>
  </si>
  <si>
    <t xml:space="preserve">AFE_2358</t>
  </si>
  <si>
    <t xml:space="preserve">DapA (AFE_2358)</t>
  </si>
  <si>
    <t xml:space="preserve">DapA</t>
  </si>
  <si>
    <t xml:space="preserve">DHFR</t>
  </si>
  <si>
    <t xml:space="preserve">dihydrofolate reductase</t>
  </si>
  <si>
    <t xml:space="preserve">nadp[c] + thf[c]  &lt;=&gt; h[c] + nadph[c] + dhf[c] </t>
  </si>
  <si>
    <t xml:space="preserve">1.5.1.3</t>
  </si>
  <si>
    <t xml:space="preserve">(Cofactor and Prosthetic Group Biosynthesis) or (Tetrahydrofolate biosynthesis)</t>
  </si>
  <si>
    <t xml:space="preserve">DHFS</t>
  </si>
  <si>
    <t xml:space="preserve">dihydrofolate synthase</t>
  </si>
  <si>
    <t xml:space="preserve">glu-L[c] + atp[c] + dhpt[c]  -&gt; h[c] + pi[c] + adp[c] + dhf[c] </t>
  </si>
  <si>
    <t xml:space="preserve">6.3.2.12</t>
  </si>
  <si>
    <t xml:space="preserve">AFE_2066</t>
  </si>
  <si>
    <t xml:space="preserve">FolC (AFE_2066)</t>
  </si>
  <si>
    <t xml:space="preserve">FolC</t>
  </si>
  <si>
    <t xml:space="preserve">DHNPA2</t>
  </si>
  <si>
    <t xml:space="preserve">dihydroneopterin aldolase</t>
  </si>
  <si>
    <t xml:space="preserve">dhnpt[c]  &lt;=&gt; gcald[c] + 6hmhpt[c] </t>
  </si>
  <si>
    <t xml:space="preserve">4.1.2.25</t>
  </si>
  <si>
    <t xml:space="preserve">AFE_0126</t>
  </si>
  <si>
    <t xml:space="preserve">FolB (AFE_0126)</t>
  </si>
  <si>
    <t xml:space="preserve">FolB</t>
  </si>
  <si>
    <t xml:space="preserve">DHORD</t>
  </si>
  <si>
    <t xml:space="preserve">dihydoorotic acid dehydrogenase (quinone8)</t>
  </si>
  <si>
    <t xml:space="preserve">o2[c] + dhor-S[c]  -&gt; h2o2[c] + orot[c] </t>
  </si>
  <si>
    <t xml:space="preserve">1.3.3.1</t>
  </si>
  <si>
    <t xml:space="preserve">AFE_2264</t>
  </si>
  <si>
    <t xml:space="preserve">PyrD (AFE_2264)</t>
  </si>
  <si>
    <t xml:space="preserve">PyrD</t>
  </si>
  <si>
    <t xml:space="preserve">DHORTS</t>
  </si>
  <si>
    <t xml:space="preserve">dihydroorotase</t>
  </si>
  <si>
    <t xml:space="preserve">h[c] + cbasp[c]  &lt;=&gt; h2o[c] + dhor-S[c] </t>
  </si>
  <si>
    <t xml:space="preserve">3.5.2.3</t>
  </si>
  <si>
    <t xml:space="preserve">(AFE_1672 and AFE_3058 and AFE_1463)</t>
  </si>
  <si>
    <t xml:space="preserve">( AFE_1672 (AFE_1672) and PyrC1 (AFE_3058) and PyrC2 (AFE_1463) )</t>
  </si>
  <si>
    <t xml:space="preserve">( AFE_1672 and PyrC1 and PyrC2 )</t>
  </si>
  <si>
    <t xml:space="preserve">DHPPDA</t>
  </si>
  <si>
    <t xml:space="preserve">diaminohydroxyphosphoribosylaminopryrimidine deaminase (2dhpp)</t>
  </si>
  <si>
    <t xml:space="preserve">h2o[c] + 2dhpp[c]  -&gt; nh4[c] + 5apru[c] </t>
  </si>
  <si>
    <t xml:space="preserve">3.5.4.26</t>
  </si>
  <si>
    <t xml:space="preserve">DHPS2</t>
  </si>
  <si>
    <t xml:space="preserve">dihydropteroate synthase</t>
  </si>
  <si>
    <t xml:space="preserve">2ahhmd[c] + 4abz[c]  &lt;=&gt; ppi[c] + dhpt[c] </t>
  </si>
  <si>
    <t xml:space="preserve">2.5.1.15</t>
  </si>
  <si>
    <t xml:space="preserve">AFE_2635</t>
  </si>
  <si>
    <t xml:space="preserve">FolP (AFE_2635)</t>
  </si>
  <si>
    <t xml:space="preserve">FolP</t>
  </si>
  <si>
    <t xml:space="preserve">DHQS</t>
  </si>
  <si>
    <t xml:space="preserve">3-dehydroquinate synthase</t>
  </si>
  <si>
    <t xml:space="preserve">2dda7p[c]  -&gt; pi[c] + 3dhq[c] </t>
  </si>
  <si>
    <t xml:space="preserve">4.2.3.4</t>
  </si>
  <si>
    <t xml:space="preserve">AFE_0733</t>
  </si>
  <si>
    <t xml:space="preserve">AroB (AFE_0733)</t>
  </si>
  <si>
    <t xml:space="preserve">AroB</t>
  </si>
  <si>
    <t xml:space="preserve">DHQT</t>
  </si>
  <si>
    <t xml:space="preserve">3-dehydroquinate dehydratase, irreversible</t>
  </si>
  <si>
    <t xml:space="preserve">3dhq[c]  &lt;=&gt; h2o[c] + 3dhsk[c] </t>
  </si>
  <si>
    <t xml:space="preserve">4.2.1.10</t>
  </si>
  <si>
    <t xml:space="preserve">AFE_0197</t>
  </si>
  <si>
    <t xml:space="preserve">AroQ (AFE_0197)</t>
  </si>
  <si>
    <t xml:space="preserve">AroQ</t>
  </si>
  <si>
    <t xml:space="preserve">DKMPE</t>
  </si>
  <si>
    <t xml:space="preserve">2,3-diketo-5-methylthiopentyl-1-phosphate enolase</t>
  </si>
  <si>
    <t xml:space="preserve">dkmpp[c]  &lt;=&gt; 2h3kto5me1pe[c] </t>
  </si>
  <si>
    <t xml:space="preserve">5.3.2.5</t>
  </si>
  <si>
    <t xml:space="preserve">AFE_0434</t>
  </si>
  <si>
    <t xml:space="preserve">CcbL2 (AFE_0434)</t>
  </si>
  <si>
    <t xml:space="preserve">DMATT</t>
  </si>
  <si>
    <t xml:space="preserve">dimethylallyltranstransferase</t>
  </si>
  <si>
    <t xml:space="preserve">dmpp[c] + ipdp[c]  -&gt; ppi[c] + grdp[c] </t>
  </si>
  <si>
    <t xml:space="preserve">2.5.1.1</t>
  </si>
  <si>
    <t xml:space="preserve">DMPPS</t>
  </si>
  <si>
    <t xml:space="preserve">1-hydroxy-2-methyl-2-(E)-butenyl 4-diphosphate reductase (dmpp)</t>
  </si>
  <si>
    <t xml:space="preserve">h[c] + nadph[c] + h2mb4p[c]  -&gt; h2o[c] + nadp[c] + dmpp[c] </t>
  </si>
  <si>
    <t xml:space="preserve">1.17.1.2</t>
  </si>
  <si>
    <t xml:space="preserve">AFE_3258</t>
  </si>
  <si>
    <t xml:space="preserve">IspH (AFE_3258)</t>
  </si>
  <si>
    <t xml:space="preserve">IspH</t>
  </si>
  <si>
    <t xml:space="preserve">DNMPPA</t>
  </si>
  <si>
    <t xml:space="preserve">Dihydroneopterin monophosphate dephosphorylase</t>
  </si>
  <si>
    <t xml:space="preserve">h2o[c] + dhpmp[c]  -&gt; pi[c] + dhnpt[c] </t>
  </si>
  <si>
    <t xml:space="preserve">3.6.1.-</t>
  </si>
  <si>
    <t xml:space="preserve">DNTPPA</t>
  </si>
  <si>
    <t xml:space="preserve">Dihydroneopterin triphosphate pyrophosphatase</t>
  </si>
  <si>
    <t xml:space="preserve">h2o[c] + ahdt[c]  -&gt; h[c] + ppi[c] + dhpmp[c] </t>
  </si>
  <si>
    <t xml:space="preserve">DOXRI</t>
  </si>
  <si>
    <t xml:space="preserve">1-deoxy-D-xylulose-5-phosphate reductoisomerase</t>
  </si>
  <si>
    <t xml:space="preserve">nadp[c] + 2me4p[c]  &lt;=&gt; h[c] + nadph[c] + dxyl5p[c] </t>
  </si>
  <si>
    <t xml:space="preserve">1.1.1.267</t>
  </si>
  <si>
    <t xml:space="preserve">AFE_1450</t>
  </si>
  <si>
    <t xml:space="preserve">Dxr (AFE_1450)</t>
  </si>
  <si>
    <t xml:space="preserve">Dxr</t>
  </si>
  <si>
    <t xml:space="preserve">DOXS</t>
  </si>
  <si>
    <t xml:space="preserve">1-deoxy-D-xylulose-5-phosphate synthase</t>
  </si>
  <si>
    <t xml:space="preserve">h[c] + pyr[c] + g3p[c]  &lt;=&gt; co2[c] + dxyl5p[c] </t>
  </si>
  <si>
    <t xml:space="preserve">2.2.1.7</t>
  </si>
  <si>
    <t xml:space="preserve">(Cofactor and Prosthetic Group Biosynthesis) or (Thiamin biosynthesis)</t>
  </si>
  <si>
    <t xml:space="preserve">AFE_1974</t>
  </si>
  <si>
    <t xml:space="preserve">Dxs (AFE_1974)</t>
  </si>
  <si>
    <t xml:space="preserve">Dxs</t>
  </si>
  <si>
    <t xml:space="preserve">DPCOAK</t>
  </si>
  <si>
    <t xml:space="preserve">dephospho-CoA kinase</t>
  </si>
  <si>
    <t xml:space="preserve">atp[c] + dpcoa[c]  -&gt; h[c] + adp[c] + coa[c] </t>
  </si>
  <si>
    <t xml:space="preserve">2.7.1.24</t>
  </si>
  <si>
    <t xml:space="preserve">(Cofactor and Prosthetic Group Biosynthesis) or (Coenzyme A Biosynthesis)</t>
  </si>
  <si>
    <t xml:space="preserve">AFE_0187</t>
  </si>
  <si>
    <t xml:space="preserve">CoaE (AFE_0187)</t>
  </si>
  <si>
    <t xml:space="preserve">CoaE</t>
  </si>
  <si>
    <t xml:space="preserve">DPR</t>
  </si>
  <si>
    <t xml:space="preserve">2-dehydropantoate 2-reductase</t>
  </si>
  <si>
    <t xml:space="preserve">nadp[c] + pant-R[c]  &lt;=&gt; h[c] + nadph[c] + 2dhp[c] </t>
  </si>
  <si>
    <t xml:space="preserve">1.1.1.169</t>
  </si>
  <si>
    <t xml:space="preserve">DTDCT</t>
  </si>
  <si>
    <t xml:space="preserve">di-trans-poly-cis-decaprenylcistransferase</t>
  </si>
  <si>
    <t xml:space="preserve">ipdp[c] + frdp[c]  &lt;=&gt; ppi[c] + ttc-ggdp[c] </t>
  </si>
  <si>
    <t xml:space="preserve">2.5.1.31</t>
  </si>
  <si>
    <t xml:space="preserve">Cell Envelope Biosynthesis</t>
  </si>
  <si>
    <t xml:space="preserve">AFE_1448</t>
  </si>
  <si>
    <t xml:space="preserve">UppS (AFE_1448)</t>
  </si>
  <si>
    <t xml:space="preserve">UppS</t>
  </si>
  <si>
    <t xml:space="preserve">DTMPK</t>
  </si>
  <si>
    <t xml:space="preserve">dTMP kinase</t>
  </si>
  <si>
    <t xml:space="preserve">atp[c] + dtmp[c]  &lt;=&gt; adp[c] + dtdp[c] </t>
  </si>
  <si>
    <t xml:space="preserve">2.7.4.9</t>
  </si>
  <si>
    <t xml:space="preserve">AFE_1913</t>
  </si>
  <si>
    <t xml:space="preserve">Tmk(AFE_1913)</t>
  </si>
  <si>
    <t xml:space="preserve">Tmk</t>
  </si>
  <si>
    <t xml:space="preserve">DUQM</t>
  </si>
  <si>
    <t xml:space="preserve">3-demethylubiquinone-9 3-methyltransferase</t>
  </si>
  <si>
    <t xml:space="preserve">amet[c] + 3dmq[c]  &lt;=&gt; 3 h[c] + ahcys[c] + q8[c] </t>
  </si>
  <si>
    <t xml:space="preserve">2.1.1.64</t>
  </si>
  <si>
    <t xml:space="preserve">( Cofactor and Prosthetic Group Biosynthesis ) or ( Ubiquinone synthesis )</t>
  </si>
  <si>
    <t xml:space="preserve">AFE_1825</t>
  </si>
  <si>
    <t xml:space="preserve">UbiG (AFE_1825)</t>
  </si>
  <si>
    <t xml:space="preserve">UbiG</t>
  </si>
  <si>
    <t xml:space="preserve">DUTPDP</t>
  </si>
  <si>
    <t xml:space="preserve">dUTP diphosphatase</t>
  </si>
  <si>
    <t xml:space="preserve">h2o[c] + dutp[c]  &lt;=&gt; h[c] + ppi[c] + dump[c] </t>
  </si>
  <si>
    <t xml:space="preserve">3.6.1.23</t>
  </si>
  <si>
    <t xml:space="preserve">AFE_0356</t>
  </si>
  <si>
    <t xml:space="preserve">Dut (AFE_0356)</t>
  </si>
  <si>
    <t xml:space="preserve">Dut</t>
  </si>
  <si>
    <t xml:space="preserve">E4PD</t>
  </si>
  <si>
    <t xml:space="preserve">erythrose-4-phosphate dehydrogenase</t>
  </si>
  <si>
    <t xml:space="preserve">h2o[c] + nad[c] + e4p[c]  &lt;=&gt; 2 h[c] + nadh[c] + 4per[c] </t>
  </si>
  <si>
    <t xml:space="preserve">1.2.1.72</t>
  </si>
  <si>
    <t xml:space="preserve">AFE_3251</t>
  </si>
  <si>
    <t xml:space="preserve">Gap (AFE_3251)</t>
  </si>
  <si>
    <t xml:space="preserve">Gap</t>
  </si>
  <si>
    <t xml:space="preserve">EAR1</t>
  </si>
  <si>
    <t xml:space="preserve">enoyl-(acyl-carrier-protein) reductase</t>
  </si>
  <si>
    <t xml:space="preserve">h[c] + nadph[c] + but2eACP[c]  &lt;=&gt; nadp[c] + butACP[c] </t>
  </si>
  <si>
    <t xml:space="preserve">1.3.1.9</t>
  </si>
  <si>
    <t xml:space="preserve">AFE_0420</t>
  </si>
  <si>
    <t xml:space="preserve">FabI (AFE_0420)</t>
  </si>
  <si>
    <t xml:space="preserve">FabI</t>
  </si>
  <si>
    <t xml:space="preserve">EAR10</t>
  </si>
  <si>
    <t xml:space="preserve">h[c] + nadph[c] + thex2eACP[c]  &lt;=&gt; nadp[c] + hexACP[c] </t>
  </si>
  <si>
    <t xml:space="preserve">EAR11</t>
  </si>
  <si>
    <t xml:space="preserve">h[c] + nadph[c] + toct2eACP[c]  &lt;=&gt; nadp[c] + ocACP[c] </t>
  </si>
  <si>
    <t xml:space="preserve">EAR12</t>
  </si>
  <si>
    <t xml:space="preserve">h[c] + nadph[c] + tdec2eACP[c]  &lt;=&gt; nadp[c] + dcaACP[c] </t>
  </si>
  <si>
    <t xml:space="preserve">EAR13</t>
  </si>
  <si>
    <t xml:space="preserve">h[c] + nadph[c] + tddec2eACP[c]  &lt;=&gt; nadp[c] + ddcaACP[c] </t>
  </si>
  <si>
    <t xml:space="preserve">EAR14</t>
  </si>
  <si>
    <t xml:space="preserve">h[c] + nadph[c] + tmrs2eACP[c]  &lt;=&gt; nadp[c] + myrsACP[c] </t>
  </si>
  <si>
    <t xml:space="preserve">EAR15</t>
  </si>
  <si>
    <t xml:space="preserve">h[c] + nadph[c] + tpalm2eACP[c]  &lt;=&gt; nadp[c] + palmACP[c] </t>
  </si>
  <si>
    <t xml:space="preserve">EAR16</t>
  </si>
  <si>
    <t xml:space="preserve">h[c] + nadph[c] + 2tadeACP[c]  &lt;=&gt; nadp[c] + ocdcaACP[c] </t>
  </si>
  <si>
    <t xml:space="preserve">EAR17</t>
  </si>
  <si>
    <t xml:space="preserve">h[c] + nadph[c] + 2teicACP[c]  &lt;=&gt; nadp[c] + arachACP[c] </t>
  </si>
  <si>
    <t xml:space="preserve">EAR2</t>
  </si>
  <si>
    <t xml:space="preserve">h[c] + nadph[c] + c2tdodeACP[c]  &lt;=&gt; nadp[c] + 3cddACP[c] </t>
  </si>
  <si>
    <t xml:space="preserve">EAR3</t>
  </si>
  <si>
    <t xml:space="preserve">h[c] + nadph[c] + c2ttedeACP[c]  &lt;=&gt; nadp[c] + ctdeACP[c] </t>
  </si>
  <si>
    <t xml:space="preserve">EAR4</t>
  </si>
  <si>
    <t xml:space="preserve">h[c] + nadph[c] + c2thedeACP[c]  &lt;=&gt; nadp[c] + chexcaACP[c] </t>
  </si>
  <si>
    <t xml:space="preserve">EAR5</t>
  </si>
  <si>
    <t xml:space="preserve">h[c] + nadph[c] + c2tocdeACP[c]  &lt;=&gt; nadp[c] + octeACP[c] </t>
  </si>
  <si>
    <t xml:space="preserve">EAR6</t>
  </si>
  <si>
    <t xml:space="preserve">h[c] + nadph[c] + 2tpenACP[c]  &lt;=&gt; nadp[c] + ptACP[c] </t>
  </si>
  <si>
    <t xml:space="preserve">EAR7</t>
  </si>
  <si>
    <t xml:space="preserve">5 h[c] + 5 nadph[c] + vtenACP[c]  &lt;=&gt; 5 nadp[c] + ptdcaACP[c] </t>
  </si>
  <si>
    <t xml:space="preserve">EAR8</t>
  </si>
  <si>
    <t xml:space="preserve">h[c] + nadph[c] + thepcaACP[c]  &lt;=&gt; nadp[c] + hpdcaACP[c] </t>
  </si>
  <si>
    <t xml:space="preserve">EAR9</t>
  </si>
  <si>
    <t xml:space="preserve">h[c] + nadph[c] + noncaACP[c]  &lt;=&gt; nadp[c] + nodcaACP[c] </t>
  </si>
  <si>
    <t xml:space="preserve">ENO</t>
  </si>
  <si>
    <t xml:space="preserve">enolase</t>
  </si>
  <si>
    <t xml:space="preserve">2pg[c]  &lt;=&gt; h2o[c] + pep[c] </t>
  </si>
  <si>
    <t xml:space="preserve">4.2.1.11</t>
  </si>
  <si>
    <t xml:space="preserve">(AFE_1800 or AFE_0849)</t>
  </si>
  <si>
    <t xml:space="preserve">( AFE_1800 (AFE_1800) ) or ( Eno (AFE_0849) )</t>
  </si>
  <si>
    <t xml:space="preserve">( Eno ) or ( AFE_1800 )</t>
  </si>
  <si>
    <t xml:space="preserve">EPS</t>
  </si>
  <si>
    <t xml:space="preserve">EPS formation</t>
  </si>
  <si>
    <t xml:space="preserve">0.17 dtdprmn[c] + 0.255 gdpfuc[c] + 0.01 udpxyl[c] + 0.005 gdpmann[c] + 0.11 dtdpglu[c] + 0.04 udpglcur[c] + 0.02 ddcaACP[c] + 0.004 myrsACP[c] + 0.08 palmACP[c] + 0.01 hpdcaACP[c] + 0.17 ocdcaACP[c] + 0.03 nodcaACP[c] + 0.01 arachACP[c]  -&gt; eps_AFE[c] + 0.28 dtdp[c] + 0.25 gdp[c] + 0.05 udp[c] + 0.324 ACP[c] </t>
  </si>
  <si>
    <t xml:space="preserve">EPS biosynthesis</t>
  </si>
  <si>
    <t xml:space="preserve">EPStex</t>
  </si>
  <si>
    <t xml:space="preserve">EPS transport</t>
  </si>
  <si>
    <t xml:space="preserve">eps_AFE[p]  &lt;=&gt; eps_AFE[e] </t>
  </si>
  <si>
    <t xml:space="preserve">EPStpp</t>
  </si>
  <si>
    <t xml:space="preserve">EPS transport (citoplasm)</t>
  </si>
  <si>
    <t xml:space="preserve">eps_AFE[c]  -&gt; eps_AFE[p] </t>
  </si>
  <si>
    <t xml:space="preserve">Ex_4hba[e]</t>
  </si>
  <si>
    <t xml:space="preserve">4 hydroxybenzyl alcohol exchange</t>
  </si>
  <si>
    <t xml:space="preserve">4hba[e]  &lt;=&gt; </t>
  </si>
  <si>
    <t xml:space="preserve">Ex_bio[e]</t>
  </si>
  <si>
    <t xml:space="preserve">biomass exchange</t>
  </si>
  <si>
    <t xml:space="preserve">bio[e]  &lt;=&gt; </t>
  </si>
  <si>
    <t xml:space="preserve">Ex_ca2[e]</t>
  </si>
  <si>
    <t xml:space="preserve">calcium exchange</t>
  </si>
  <si>
    <t xml:space="preserve">ca2[e]  &lt;=&gt; </t>
  </si>
  <si>
    <t xml:space="preserve">Ex_cu2[e]</t>
  </si>
  <si>
    <t xml:space="preserve">cu2+ exchange</t>
  </si>
  <si>
    <t xml:space="preserve">cu2[e]  &lt;=&gt; </t>
  </si>
  <si>
    <t xml:space="preserve">Ex_eps_AFE[e]</t>
  </si>
  <si>
    <t xml:space="preserve">eps exchange</t>
  </si>
  <si>
    <t xml:space="preserve">eps_AFE[e]  &lt;=&gt; </t>
  </si>
  <si>
    <t xml:space="preserve">Ex_fe2[e]</t>
  </si>
  <si>
    <t xml:space="preserve">fe2+ exchange</t>
  </si>
  <si>
    <t xml:space="preserve">fe2[e]  &lt;=&gt; </t>
  </si>
  <si>
    <t xml:space="preserve">Ex_fe3[e]</t>
  </si>
  <si>
    <t xml:space="preserve">fe3+ exchange</t>
  </si>
  <si>
    <t xml:space="preserve">fe3[e]  &lt;=&gt; </t>
  </si>
  <si>
    <t xml:space="preserve">Ex_h2[e]</t>
  </si>
  <si>
    <t xml:space="preserve">h2 exchange</t>
  </si>
  <si>
    <t xml:space="preserve">h2[e]  &lt;=&gt; </t>
  </si>
  <si>
    <t xml:space="preserve">Ex_h2co3[e]</t>
  </si>
  <si>
    <t xml:space="preserve">h3co3 exchange</t>
  </si>
  <si>
    <t xml:space="preserve">h2co3[e]  &lt;=&gt; </t>
  </si>
  <si>
    <t xml:space="preserve">Ex_h2o[e]</t>
  </si>
  <si>
    <t xml:space="preserve">h2o exchange</t>
  </si>
  <si>
    <t xml:space="preserve">h2o[e]  &lt;=&gt; </t>
  </si>
  <si>
    <t xml:space="preserve">Ex_h2s[e]</t>
  </si>
  <si>
    <t xml:space="preserve">hydrogen sulfide exchange</t>
  </si>
  <si>
    <t xml:space="preserve">h2s[e]  &lt;=&gt; </t>
  </si>
  <si>
    <t xml:space="preserve">Ex_h[e]</t>
  </si>
  <si>
    <t xml:space="preserve">h+ exchange</t>
  </si>
  <si>
    <t xml:space="preserve">h[e]  &lt;=&gt; </t>
  </si>
  <si>
    <t xml:space="preserve">Ex_k[e]</t>
  </si>
  <si>
    <t xml:space="preserve">k+ exchange</t>
  </si>
  <si>
    <t xml:space="preserve">k[e]  &lt;=&gt; </t>
  </si>
  <si>
    <t xml:space="preserve">Ex_mg2[e]</t>
  </si>
  <si>
    <t xml:space="preserve">mg2+ exchange</t>
  </si>
  <si>
    <t xml:space="preserve">mg2[e]  &lt;=&gt; </t>
  </si>
  <si>
    <t xml:space="preserve">Ex_mn2[e]</t>
  </si>
  <si>
    <t xml:space="preserve">mn2+ exchange</t>
  </si>
  <si>
    <t xml:space="preserve">mn2[e]  &lt;=&gt; </t>
  </si>
  <si>
    <t xml:space="preserve">Ex_n2[e]</t>
  </si>
  <si>
    <t xml:space="preserve">n2 exchange</t>
  </si>
  <si>
    <t xml:space="preserve">n2[e]  &lt;=&gt; </t>
  </si>
  <si>
    <t xml:space="preserve">Ex_na1[e]</t>
  </si>
  <si>
    <t xml:space="preserve">sodium exchange</t>
  </si>
  <si>
    <t xml:space="preserve">na1[e]  &lt;=&gt; </t>
  </si>
  <si>
    <t xml:space="preserve">Ex_nh4[e]</t>
  </si>
  <si>
    <t xml:space="preserve">ammonia exchange</t>
  </si>
  <si>
    <t xml:space="preserve">nh4[e]  &lt;=&gt; </t>
  </si>
  <si>
    <t xml:space="preserve">Ex_o2[e]</t>
  </si>
  <si>
    <t xml:space="preserve">o2 exchange</t>
  </si>
  <si>
    <t xml:space="preserve">o2[e]  &lt;=&gt; </t>
  </si>
  <si>
    <t xml:space="preserve">Ex_pi[e]</t>
  </si>
  <si>
    <t xml:space="preserve">phosphate exchange</t>
  </si>
  <si>
    <t xml:space="preserve">pi[e]  &lt;=&gt; </t>
  </si>
  <si>
    <t xml:space="preserve">Ex_polypi[e]</t>
  </si>
  <si>
    <t xml:space="preserve">polyphosphate exchange</t>
  </si>
  <si>
    <t xml:space="preserve">polypi[e]  &lt;=&gt; </t>
  </si>
  <si>
    <t xml:space="preserve">Ex_ppt[e]</t>
  </si>
  <si>
    <t xml:space="preserve">phosphonate exchange</t>
  </si>
  <si>
    <t xml:space="preserve">ppt[e]  &lt;=&gt; </t>
  </si>
  <si>
    <t xml:space="preserve">Ex_s[e]</t>
  </si>
  <si>
    <t xml:space="preserve">sulfur exchange</t>
  </si>
  <si>
    <t xml:space="preserve">s[e]  &lt;=&gt; </t>
  </si>
  <si>
    <t xml:space="preserve">Ex_so4[e]</t>
  </si>
  <si>
    <t xml:space="preserve">sulfate exchange</t>
  </si>
  <si>
    <t xml:space="preserve">so4[e]  &lt;=&gt; </t>
  </si>
  <si>
    <t xml:space="preserve">Ex_so4aa[e]</t>
  </si>
  <si>
    <t xml:space="preserve">so4aa[e]  &lt;=&gt; </t>
  </si>
  <si>
    <t xml:space="preserve">Ex_tsul[e]</t>
  </si>
  <si>
    <t xml:space="preserve">thiosulfate exchange</t>
  </si>
  <si>
    <t xml:space="preserve">tsul[e]  &lt;=&gt; </t>
  </si>
  <si>
    <t xml:space="preserve">Ex_ttton[e]</t>
  </si>
  <si>
    <t xml:space="preserve">tetrathionate exchange</t>
  </si>
  <si>
    <t xml:space="preserve">ttton[e]  &lt;=&gt; </t>
  </si>
  <si>
    <t xml:space="preserve">Ex_zn2[e]</t>
  </si>
  <si>
    <t xml:space="preserve">zinc exchange</t>
  </si>
  <si>
    <t xml:space="preserve">zn2[e]  &lt;=&gt; </t>
  </si>
  <si>
    <t xml:space="preserve">FA_PL-ACP-AFE</t>
  </si>
  <si>
    <t xml:space="preserve">Fatty Acid formation</t>
  </si>
  <si>
    <t xml:space="preserve">0.08 ddcaACP[c] + 0.11 palmACP[c] + 0.02 hpdcaACP[c] + 0.02 ocdcaACP[c] + 0.1 3hmrsACP[c] + 0.01 ptdcaACP[c] + 0.21 chexcaACP[c] + 0.02 thepcaACP[c] + 0.36 octeACP[c] + 0.07 c190cACP[c]  -&gt; faplACP[c] </t>
  </si>
  <si>
    <t xml:space="preserve">FBA</t>
  </si>
  <si>
    <t xml:space="preserve">fructose-bisphosphate aldolase</t>
  </si>
  <si>
    <t xml:space="preserve">fdp[c]  &lt;=&gt; g3p[c] + dhap[c] </t>
  </si>
  <si>
    <t xml:space="preserve">4.1.2.13</t>
  </si>
  <si>
    <t xml:space="preserve">(Glycolysis/Gluconeogenesis) or (Calvin-Benson-Bassham Cycle)</t>
  </si>
  <si>
    <t xml:space="preserve">AFE_1802</t>
  </si>
  <si>
    <t xml:space="preserve">AFE_1802 (AFE_1802)</t>
  </si>
  <si>
    <t xml:space="preserve">FBA3</t>
  </si>
  <si>
    <t xml:space="preserve">Sedoheptulose 1,7-bisphosphate D-glyceraldehyde-3-phosphate-lyase</t>
  </si>
  <si>
    <t xml:space="preserve">e4p[c] + dhap[c]  &lt;=&gt; s17bp[c] </t>
  </si>
  <si>
    <t xml:space="preserve">(Pentose Phosphate Pathway) or (Calvin-Benson-Bassham Cycle)</t>
  </si>
  <si>
    <t xml:space="preserve">(AFE_1676 and AFE_3248)</t>
  </si>
  <si>
    <t xml:space="preserve">( AFE_1676 (AFE_1676) and Fba (AFE_3248) )</t>
  </si>
  <si>
    <t xml:space="preserve">( AFE_1676 and Fba )</t>
  </si>
  <si>
    <t xml:space="preserve">FBP</t>
  </si>
  <si>
    <t xml:space="preserve">fructose-bisphosphatase</t>
  </si>
  <si>
    <t xml:space="preserve">h2o[c] + fdp[c]  -&gt; pi[c] + f6p-B[c] </t>
  </si>
  <si>
    <t xml:space="preserve">3.1.3.11</t>
  </si>
  <si>
    <t xml:space="preserve">AFE_0189</t>
  </si>
  <si>
    <t xml:space="preserve">Fbp (AFE_0189)</t>
  </si>
  <si>
    <t xml:space="preserve">Fbp</t>
  </si>
  <si>
    <t xml:space="preserve">FCLT</t>
  </si>
  <si>
    <t xml:space="preserve">Ferrochelatase</t>
  </si>
  <si>
    <t xml:space="preserve">fe2[c] + ppp9[c]  &lt;=&gt; 2 h[c] + pheme[c] </t>
  </si>
  <si>
    <t xml:space="preserve">4.99.1.1</t>
  </si>
  <si>
    <t xml:space="preserve">AFE_0179</t>
  </si>
  <si>
    <t xml:space="preserve">HemH (AFE_0179)</t>
  </si>
  <si>
    <t xml:space="preserve">HemH</t>
  </si>
  <si>
    <t xml:space="preserve">FDH</t>
  </si>
  <si>
    <t xml:space="preserve">formate dehydrogenase</t>
  </si>
  <si>
    <t xml:space="preserve">for[c] + nad[c]  -&gt; co2[c] + nadh[c] </t>
  </si>
  <si>
    <t xml:space="preserve">1.2.1.2</t>
  </si>
  <si>
    <t xml:space="preserve">(AFE_0692 or AFE_1652)</t>
  </si>
  <si>
    <t xml:space="preserve">( AFE_0692 (AFE_0692) ) or ( AFE_1652 (AFE_1652) )</t>
  </si>
  <si>
    <t xml:space="preserve">( AFE_0692 ) or ( AFE_1652 )</t>
  </si>
  <si>
    <t xml:space="preserve">FE2tex</t>
  </si>
  <si>
    <t xml:space="preserve">fe2 transport</t>
  </si>
  <si>
    <t xml:space="preserve">fe2[e]  &lt;=&gt; fe2[p] </t>
  </si>
  <si>
    <t xml:space="preserve">FE2tpp</t>
  </si>
  <si>
    <t xml:space="preserve">Fe(II) ABC inner membrane transporter</t>
  </si>
  <si>
    <t xml:space="preserve">h2o[c] + atp[c] + fe2[p]  -&gt; h[c] + pi[c] + adp[c] + fe2[c] </t>
  </si>
  <si>
    <t xml:space="preserve">19077236 &amp;&amp; 19025650 </t>
  </si>
  <si>
    <t xml:space="preserve">(Transport, Inner Membrane) or (Fe+2 Metabolism)</t>
  </si>
  <si>
    <t xml:space="preserve">(AFE_2522 and AFE_2523 and AFE_2524 and AFE_2525)</t>
  </si>
  <si>
    <t xml:space="preserve">( AFE_2522 (AFE_2522) and AFE_2523 (AFE_2523) and FeoB (AFE_2524) and AFE_2525 (AFE_2525) )</t>
  </si>
  <si>
    <t xml:space="preserve">( AFE_2522 and AFE_2523 and FeoB and AFE_2525 )</t>
  </si>
  <si>
    <t xml:space="preserve">FE32tpp</t>
  </si>
  <si>
    <t xml:space="preserve">fe3 ton transporter</t>
  </si>
  <si>
    <t xml:space="preserve">fe3[e]  -&gt; fe3[p] </t>
  </si>
  <si>
    <t xml:space="preserve">((AFE_2267 and AFE_2268 and AFE_2269 and AFE_2270 and AFE_2271 and AFE_2273 and AFE_2274 and AFE_2275 and AFE_2276) or (AFE_2998 and AFE_2999 and AFE_2300 and AFE_2301 and AFE_2302 and AFE_2303 and AFE_2304 and AFE_2305))</t>
  </si>
  <si>
    <t xml:space="preserve"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t>
  </si>
  <si>
    <t xml:space="preserve">( AFE_2267 and AFE_2268 and AFE_2269 and AFE_2270 and AFE_2271 and AFE_2273 and AFE_2274 and AFE_2275 and AFE_2276 ) or ( AFE_2998 and AFE_2999 and AFE_2300 and AFE_2301 and AFE_2302 and AFE_2303 and AFE_2304 and AFE_2305 )</t>
  </si>
  <si>
    <t xml:space="preserve">FE3tpp</t>
  </si>
  <si>
    <t xml:space="preserve">Fe(III) ABC inner membrane transporter</t>
  </si>
  <si>
    <t xml:space="preserve">h2o[c] + atp[c] + fe3[p]  -&gt; h[c] + pi[c] + adp[c] + fe3[c] </t>
  </si>
  <si>
    <t xml:space="preserve">((AFE_1489 and AFE_1490 and AFE_1491) or (AFE_1493 and AFE_1494 and AFE_1495))</t>
  </si>
  <si>
    <t xml:space="preserve">( AFE_1489 (AFE_1489) and AFE_1490 (AFE_1490) and AFE_1491 (AFE_1491) ) or ( AFE_1493 (AFE_1493 ) and AFE_1494 (AFE_1494) and AFE_1495 (AFE_1495) )</t>
  </si>
  <si>
    <t xml:space="preserve">( AFE_1489 and AFE_1490 and AFE_1491 ) or ( AFE_1493 and AFE_1494 and AFE_1495 )</t>
  </si>
  <si>
    <t xml:space="preserve">FMNAT</t>
  </si>
  <si>
    <t xml:space="preserve">FMN adenylyltransferase</t>
  </si>
  <si>
    <t xml:space="preserve">h[c] + atp[c] + fmn[c]  -&gt; ppi[c] + fad[c] </t>
  </si>
  <si>
    <t xml:space="preserve">2.7.7.2</t>
  </si>
  <si>
    <t xml:space="preserve">AFE_0557</t>
  </si>
  <si>
    <t xml:space="preserve">RibF (AFE_0557)</t>
  </si>
  <si>
    <t xml:space="preserve">RibF</t>
  </si>
  <si>
    <t xml:space="preserve">FTHFD</t>
  </si>
  <si>
    <t xml:space="preserve">formyltetrahydrofolate deformylase</t>
  </si>
  <si>
    <t xml:space="preserve">h2o[c] + 10fthf[c]  -&gt; h[c] + for[c] + thf[c] </t>
  </si>
  <si>
    <t xml:space="preserve">3.5.1.10</t>
  </si>
  <si>
    <t xml:space="preserve">Folate Metabolism</t>
  </si>
  <si>
    <t xml:space="preserve">FTHFL</t>
  </si>
  <si>
    <t xml:space="preserve">formate-tetrahydrofolate ligase</t>
  </si>
  <si>
    <t xml:space="preserve">pi[c] + adp[c] + 10fthf[c]  -&gt; atp[c] + for[c] + thf[c] </t>
  </si>
  <si>
    <t xml:space="preserve">6.3.4.3</t>
  </si>
  <si>
    <t xml:space="preserve">FUM</t>
  </si>
  <si>
    <t xml:space="preserve">fumarase</t>
  </si>
  <si>
    <t xml:space="preserve">mal-L[c]  &lt;=&gt; h2o[c] + fum[c] </t>
  </si>
  <si>
    <t xml:space="preserve">4.2.1.2</t>
  </si>
  <si>
    <t xml:space="preserve">AFE_2673</t>
  </si>
  <si>
    <t xml:space="preserve">FumC (AFE_2673)</t>
  </si>
  <si>
    <t xml:space="preserve">FumC</t>
  </si>
  <si>
    <t xml:space="preserve">G1PACT</t>
  </si>
  <si>
    <t xml:space="preserve">glucosamine-1-phosphate N-acetyltransferase</t>
  </si>
  <si>
    <t xml:space="preserve">accoa[c] + gam1p[c]  -&gt; h[c] + coa[c] + acgam1p[c] </t>
  </si>
  <si>
    <t xml:space="preserve">2.3.1.157</t>
  </si>
  <si>
    <t xml:space="preserve">(Cell Envelope Biosynthesis) or (EPS biosynthesis)</t>
  </si>
  <si>
    <t xml:space="preserve">AFE_3201</t>
  </si>
  <si>
    <t xml:space="preserve">GlmU (AFE_3201)</t>
  </si>
  <si>
    <t xml:space="preserve">GlmU</t>
  </si>
  <si>
    <t xml:space="preserve">G1PTT</t>
  </si>
  <si>
    <t xml:space="preserve">glucose-1-phosphate thymidylyltransferase</t>
  </si>
  <si>
    <t xml:space="preserve">dttp[c] + g1p[c]  -&gt; ppi[c] + dtdpglu[c] </t>
  </si>
  <si>
    <t xml:space="preserve">2.7.7.24</t>
  </si>
  <si>
    <t xml:space="preserve">AFE_3295</t>
  </si>
  <si>
    <t xml:space="preserve">RfbA (AFE_3295)</t>
  </si>
  <si>
    <t xml:space="preserve">RfbA</t>
  </si>
  <si>
    <t xml:space="preserve">G1SAT</t>
  </si>
  <si>
    <t xml:space="preserve">glutamate-1-semialdehyde aminotransferase</t>
  </si>
  <si>
    <t xml:space="preserve">glu1sa[c]  &lt;=&gt; 5aop[c] </t>
  </si>
  <si>
    <t xml:space="preserve">5.4.3.8</t>
  </si>
  <si>
    <t xml:space="preserve">(Cofactor and Prosthetic Group Biosynthesis) or (Tetrapyrrole biosynthesis)</t>
  </si>
  <si>
    <t xml:space="preserve">AFE_3303</t>
  </si>
  <si>
    <t xml:space="preserve">HemL (AFE_3303)</t>
  </si>
  <si>
    <t xml:space="preserve">HemL</t>
  </si>
  <si>
    <t xml:space="preserve">G3PAT1</t>
  </si>
  <si>
    <t xml:space="preserve">acyl-ACP:sn-glycerol-3-phosphate 1-O-acyltransferase </t>
  </si>
  <si>
    <t xml:space="preserve">faplACP[c] + glyc3p[c]  -&gt; ACP[c] + faplg3p_AFE[c] </t>
  </si>
  <si>
    <t xml:space="preserve">2.3.1.15</t>
  </si>
  <si>
    <t xml:space="preserve">Glycerophospholipid Metabolism</t>
  </si>
  <si>
    <t xml:space="preserve">G3PAT2</t>
  </si>
  <si>
    <t xml:space="preserve">1-acyl-sn-glycerol-3-phosphate acyltransferase </t>
  </si>
  <si>
    <t xml:space="preserve">faplACP[c] + faplg3p_AFE[c]  -&gt; ACP[c] + dag3pi_AFE[c] </t>
  </si>
  <si>
    <t xml:space="preserve">2.3.1.51</t>
  </si>
  <si>
    <t xml:space="preserve">AFE_0727</t>
  </si>
  <si>
    <t xml:space="preserve">AFE_0727 (AFE_0727)</t>
  </si>
  <si>
    <t xml:space="preserve">G3PD2</t>
  </si>
  <si>
    <t xml:space="preserve">glycerol-3-phosphate dehydrogenase (NADP)</t>
  </si>
  <si>
    <t xml:space="preserve">h[c] + nadph[c] + dhap[c]  -&gt; nadp[c] + glyc3p[c] </t>
  </si>
  <si>
    <t xml:space="preserve">1.1.1.94</t>
  </si>
  <si>
    <t xml:space="preserve">AFE_2126</t>
  </si>
  <si>
    <t xml:space="preserve">GpsA (AFE_2126)</t>
  </si>
  <si>
    <t xml:space="preserve">GpsA</t>
  </si>
  <si>
    <t xml:space="preserve">G5SADs</t>
  </si>
  <si>
    <t xml:space="preserve">L-glutamate 5-semialdehyde dehydratase (spontaneous)</t>
  </si>
  <si>
    <t xml:space="preserve">glu5sa[c]  -&gt; h[c] + h2o[c] + 1pyr5c[c] </t>
  </si>
  <si>
    <t xml:space="preserve">1.2.1.41</t>
  </si>
  <si>
    <t xml:space="preserve">G5SD</t>
  </si>
  <si>
    <t xml:space="preserve">glutamate-5-semialdehyde dehydrogenase</t>
  </si>
  <si>
    <t xml:space="preserve">pi[c] + nadp[c] + glu5sa[c]  &lt;=&gt; h[c] + nadph[c] + glu5p[c] </t>
  </si>
  <si>
    <t xml:space="preserve">AFE_0454</t>
  </si>
  <si>
    <t xml:space="preserve">ProA (AFE_0454)</t>
  </si>
  <si>
    <t xml:space="preserve">ProA</t>
  </si>
  <si>
    <t xml:space="preserve">G6PDH2</t>
  </si>
  <si>
    <t xml:space="preserve">glucose 6-phosphate dehydrogenase</t>
  </si>
  <si>
    <t xml:space="preserve">h[c] + nadph[c] + 6pgl[c]  -&gt; nadp[c] + g6p-B[c] </t>
  </si>
  <si>
    <t xml:space="preserve">1.1.1.49</t>
  </si>
  <si>
    <t xml:space="preserve">AFE_2025 </t>
  </si>
  <si>
    <t xml:space="preserve">Zwf (AFE_2025 )</t>
  </si>
  <si>
    <t xml:space="preserve">Zwf</t>
  </si>
  <si>
    <t xml:space="preserve">GALU</t>
  </si>
  <si>
    <t xml:space="preserve">UTP-glucose-1-phosphate uridylyltransferase</t>
  </si>
  <si>
    <t xml:space="preserve">h[c] + utp[c] + g1p[c]  -&gt; ppi[c] + udpg[c] </t>
  </si>
  <si>
    <t xml:space="preserve">2.7.7.9</t>
  </si>
  <si>
    <t xml:space="preserve">AFE_0445</t>
  </si>
  <si>
    <t xml:space="preserve">GalU (AFE_0445)</t>
  </si>
  <si>
    <t xml:space="preserve">GalU</t>
  </si>
  <si>
    <t xml:space="preserve">GAP2</t>
  </si>
  <si>
    <t xml:space="preserve">g1p[c]  &lt;=&gt; g1p-B[c] </t>
  </si>
  <si>
    <t xml:space="preserve">GAPD1</t>
  </si>
  <si>
    <t xml:space="preserve">glyceraldehyde-3-phosphate dehydrogenase</t>
  </si>
  <si>
    <t xml:space="preserve">h[c] + nadh[c] + 13dpg[c]  -&gt; pi[c] + nad[c] + g3p[c] </t>
  </si>
  <si>
    <t xml:space="preserve">1.2.1.12</t>
  </si>
  <si>
    <t xml:space="preserve">GAPD2</t>
  </si>
  <si>
    <t xml:space="preserve">Glyceraldehyde-3-phosphate dehydrogenase (NADP+) (phosphorylating) </t>
  </si>
  <si>
    <t xml:space="preserve">h[c] + nadph[c] + 13dpg[c]  -&gt; pi[c] + nadp[c] + g3p[c] </t>
  </si>
  <si>
    <t xml:space="preserve">1.2.1.13</t>
  </si>
  <si>
    <t xml:space="preserve">GARFT</t>
  </si>
  <si>
    <t xml:space="preserve">phosphoribosylglycinamide formyltransferase</t>
  </si>
  <si>
    <t xml:space="preserve">10fthf[c] + gar[c]  &lt;=&gt; h[c] + thf[c] + fgam[c] </t>
  </si>
  <si>
    <t xml:space="preserve">2.1.2.2</t>
  </si>
  <si>
    <t xml:space="preserve">(AFE_1896 or AFE_2023)</t>
  </si>
  <si>
    <t xml:space="preserve">( PurN (AFE_1896) ) or ( PurT (AFE_2023) )</t>
  </si>
  <si>
    <t xml:space="preserve">( PurN ) or ( PurT )</t>
  </si>
  <si>
    <t xml:space="preserve">GART</t>
  </si>
  <si>
    <t xml:space="preserve">GAR transformylase-T</t>
  </si>
  <si>
    <t xml:space="preserve">atp[c] + for[c] + gar[c]  -&gt; h[c] + pi[c] + adp[c] + fgam[c] </t>
  </si>
  <si>
    <t xml:space="preserve">2.1.2.-</t>
  </si>
  <si>
    <t xml:space="preserve">AFE_1896</t>
  </si>
  <si>
    <t xml:space="preserve">PurN (AFE_1896)</t>
  </si>
  <si>
    <t xml:space="preserve">PurN</t>
  </si>
  <si>
    <t xml:space="preserve">GCALDD</t>
  </si>
  <si>
    <t xml:space="preserve">Glycolaldehyde dehydrogenase</t>
  </si>
  <si>
    <t xml:space="preserve">h2o[c] + nad[c] + gcald[c]  -&gt; 2 h[c] + nadh[c] + glyclt[c] </t>
  </si>
  <si>
    <t xml:space="preserve">1.2.1.21</t>
  </si>
  <si>
    <t xml:space="preserve">GF6PTA</t>
  </si>
  <si>
    <t xml:space="preserve">glutamine-fructose-6-phosphate transaminase</t>
  </si>
  <si>
    <t xml:space="preserve">gln-L[c] + f6p-B[c]  &lt;=&gt; glu-L[c] + gam6p[c] </t>
  </si>
  <si>
    <t xml:space="preserve">2.6.1.16</t>
  </si>
  <si>
    <t xml:space="preserve">AFE_3200</t>
  </si>
  <si>
    <t xml:space="preserve">GlmS (AFE_3200)</t>
  </si>
  <si>
    <t xml:space="preserve">GlmS</t>
  </si>
  <si>
    <t xml:space="preserve">GFUCS</t>
  </si>
  <si>
    <t xml:space="preserve">h[c] + nadph[c] + gdpddman[c]  -&gt; nadp[c] + gdpfuc[c] </t>
  </si>
  <si>
    <t xml:space="preserve">1.1.1.271</t>
  </si>
  <si>
    <t xml:space="preserve">GHMT2</t>
  </si>
  <si>
    <t xml:space="preserve">glycine hydroxymethyltransferase, reversible</t>
  </si>
  <si>
    <t xml:space="preserve">thf[c] + ser-L[c]  &lt;=&gt; h2o[c] + mlthf[c] + gly[c] </t>
  </si>
  <si>
    <t xml:space="preserve">2.1.2.1</t>
  </si>
  <si>
    <t xml:space="preserve">Glycine and Serine Metabolism</t>
  </si>
  <si>
    <t xml:space="preserve">AFE_0295</t>
  </si>
  <si>
    <t xml:space="preserve">GlyA (AFE_0295)</t>
  </si>
  <si>
    <t xml:space="preserve">GlyA</t>
  </si>
  <si>
    <t xml:space="preserve">GHMT3</t>
  </si>
  <si>
    <t xml:space="preserve">glycine hydroxymethyltransferase</t>
  </si>
  <si>
    <t xml:space="preserve">nad[c] + thf[c] + gly[c]  -&gt; co2[c] + nadh[c] + mlthf[c] + nh4[c] </t>
  </si>
  <si>
    <t xml:space="preserve">GK1</t>
  </si>
  <si>
    <t xml:space="preserve">guanylate kinase (GMP:ATP)</t>
  </si>
  <si>
    <t xml:space="preserve">atp[c] + gmp[c]  &lt;=&gt; adp[c] + gdp[c] </t>
  </si>
  <si>
    <t xml:space="preserve">2.7.4.8</t>
  </si>
  <si>
    <t xml:space="preserve">AFE_0563</t>
  </si>
  <si>
    <t xml:space="preserve">GmK (AFE_0563)</t>
  </si>
  <si>
    <t xml:space="preserve">GmK</t>
  </si>
  <si>
    <t xml:space="preserve">GLAT</t>
  </si>
  <si>
    <t xml:space="preserve">glutamate N-acetyltransferase</t>
  </si>
  <si>
    <t xml:space="preserve">glu-L[c] + acorn[c]  &lt;=&gt; orn[c] + acglu[c] </t>
  </si>
  <si>
    <t xml:space="preserve">2.3.1.35</t>
  </si>
  <si>
    <t xml:space="preserve">GLBRAN1</t>
  </si>
  <si>
    <t xml:space="preserve">1,4-alpha-glucan branching enzyme (glycogen -&gt; bglycogen)</t>
  </si>
  <si>
    <t xml:space="preserve">2 h[c] + glycogendeb[c]  -&gt; glycogen[c] </t>
  </si>
  <si>
    <t xml:space="preserve">2.4.1.18</t>
  </si>
  <si>
    <t xml:space="preserve">(Glycogen Metabolism) or (Glycolysis/Gluconeogenesis)</t>
  </si>
  <si>
    <t xml:space="preserve">AFE_2836</t>
  </si>
  <si>
    <t xml:space="preserve">GlgB (AFE_2836)</t>
  </si>
  <si>
    <t xml:space="preserve">GlgB</t>
  </si>
  <si>
    <t xml:space="preserve">GLCP</t>
  </si>
  <si>
    <t xml:space="preserve">glycogen phosphorylase</t>
  </si>
  <si>
    <t xml:space="preserve">pi[c] + h2o[c] + 4 glycogendeb[c]  &lt;=&gt; g1p[c] + malttr[c] </t>
  </si>
  <si>
    <t xml:space="preserve">2.4.1.1</t>
  </si>
  <si>
    <t xml:space="preserve">(AFE_0774 or AFE_1799)</t>
  </si>
  <si>
    <t xml:space="preserve">( AFE_0774 (AFE_0774) ) or ( AFE_1799 (AFE_1799) )</t>
  </si>
  <si>
    <t xml:space="preserve">( AFE_0774 ) or ( AFE_1799 )</t>
  </si>
  <si>
    <t xml:space="preserve">GLCS1</t>
  </si>
  <si>
    <t xml:space="preserve">glycogen synthase (ADPGlc)</t>
  </si>
  <si>
    <t xml:space="preserve">adpglc[c]  -&gt; h[c] + adp[c] + glycogendeb[c] </t>
  </si>
  <si>
    <t xml:space="preserve">2.4.1.21</t>
  </si>
  <si>
    <t xml:space="preserve">AFE_2678</t>
  </si>
  <si>
    <t xml:space="preserve">GlgA (AFE_2678)</t>
  </si>
  <si>
    <t xml:space="preserve">GlgA</t>
  </si>
  <si>
    <t xml:space="preserve">GLDBRAN2</t>
  </si>
  <si>
    <t xml:space="preserve">glycogen debranching enzyme</t>
  </si>
  <si>
    <t xml:space="preserve">glycogen[c]  -&gt; 2 h[c] + glycogendeb[c] </t>
  </si>
  <si>
    <t xml:space="preserve">GLGC</t>
  </si>
  <si>
    <t xml:space="preserve">glucose-1-phosphate adenylyltransferase</t>
  </si>
  <si>
    <t xml:space="preserve">h[c] + atp[c] + g1p[c]  -&gt; ppi[c] + adpglc[c] </t>
  </si>
  <si>
    <t xml:space="preserve">2.7.7.27</t>
  </si>
  <si>
    <t xml:space="preserve">AFE_2838</t>
  </si>
  <si>
    <t xml:space="preserve">GlgC (AFE_2838)</t>
  </si>
  <si>
    <t xml:space="preserve">GlgC</t>
  </si>
  <si>
    <t xml:space="preserve">GLNS</t>
  </si>
  <si>
    <t xml:space="preserve">glutamine synthetase</t>
  </si>
  <si>
    <t xml:space="preserve">glu-L[c] + atp[c] + nh4[c]  -&gt; h[c] + pi[c] + adp[c] + gln-L[c] </t>
  </si>
  <si>
    <t xml:space="preserve">6.3.1.2</t>
  </si>
  <si>
    <t xml:space="preserve">Glutamate Metabolism </t>
  </si>
  <si>
    <t xml:space="preserve">AFE_0466</t>
  </si>
  <si>
    <t xml:space="preserve">GlnA (AFE_0466)</t>
  </si>
  <si>
    <t xml:space="preserve">GlnA</t>
  </si>
  <si>
    <t xml:space="preserve">GLU5K</t>
  </si>
  <si>
    <t xml:space="preserve">glutamate 5-kinase</t>
  </si>
  <si>
    <t xml:space="preserve">glu-L[c] + atp[c]  -&gt; adp[c] + glu5p[c] </t>
  </si>
  <si>
    <t xml:space="preserve">2.7.2.11</t>
  </si>
  <si>
    <t xml:space="preserve">(AFE_2464 and AFE_1783 and AFE_0281)</t>
  </si>
  <si>
    <t xml:space="preserve">( ProB1 (AFE_2464) and ProB2 (AFE_1783) and ProB3 (AFE_0281) )</t>
  </si>
  <si>
    <t xml:space="preserve">( ProB1 and ProB2 and ProB3 )</t>
  </si>
  <si>
    <t xml:space="preserve">GLUCYS</t>
  </si>
  <si>
    <t xml:space="preserve">gamma-glutamylcysteine synthetase</t>
  </si>
  <si>
    <t xml:space="preserve">glu-L[c] + atp[c] + cys-L[c]  -&gt; h[c] + pi[c] + adp[c] + glucys[c] </t>
  </si>
  <si>
    <t xml:space="preserve">6.3.2.2</t>
  </si>
  <si>
    <t xml:space="preserve">(Cofactor and Prosthetic Group Biosynthesis) or (Glutathione biosynthesis)</t>
  </si>
  <si>
    <t xml:space="preserve">AFE_3064</t>
  </si>
  <si>
    <t xml:space="preserve">GshA (AFE_3064)</t>
  </si>
  <si>
    <t xml:space="preserve">GshA</t>
  </si>
  <si>
    <t xml:space="preserve">GLUPRT</t>
  </si>
  <si>
    <t xml:space="preserve">glutamine phosphoribosyldiphosphate amidotransferase</t>
  </si>
  <si>
    <t xml:space="preserve">h2o[c] + gln-L[c] + prpp[c]  -&gt; glu-L[c] + ppi[c] + pram[c] </t>
  </si>
  <si>
    <t xml:space="preserve">2.4.2.14</t>
  </si>
  <si>
    <t xml:space="preserve">AFE_2064</t>
  </si>
  <si>
    <t xml:space="preserve">PurF (AFE_2064)</t>
  </si>
  <si>
    <t xml:space="preserve">PurF</t>
  </si>
  <si>
    <t xml:space="preserve">GLUR</t>
  </si>
  <si>
    <t xml:space="preserve">glutamate racemase</t>
  </si>
  <si>
    <t xml:space="preserve">glu-L[c]  &lt;=&gt; glu-D[c] </t>
  </si>
  <si>
    <t xml:space="preserve">5.1.1.3</t>
  </si>
  <si>
    <t xml:space="preserve">( Cell Envelope Biosynthesis ) or ( Peptidoglycan biosynthesis )</t>
  </si>
  <si>
    <t xml:space="preserve">AFE_2842</t>
  </si>
  <si>
    <t xml:space="preserve">MurI (AFE_2842)</t>
  </si>
  <si>
    <t xml:space="preserve">MurI</t>
  </si>
  <si>
    <t xml:space="preserve">GLUSy</t>
  </si>
  <si>
    <t xml:space="preserve">glutamate synthase (NADPH)</t>
  </si>
  <si>
    <t xml:space="preserve">h[c] + akg[c] + gln-L[c] + nadph[c]  -&gt; 2 glu-L[c] + nadp[c] </t>
  </si>
  <si>
    <t xml:space="preserve">1.4.1.13</t>
  </si>
  <si>
    <t xml:space="preserve">(AFE_0730 and AFE_0729)</t>
  </si>
  <si>
    <t xml:space="preserve">( GltB (AFE_0730) and GltD (AFE_0729) )</t>
  </si>
  <si>
    <t xml:space="preserve">( GltB and GltD )</t>
  </si>
  <si>
    <t xml:space="preserve">GLUTRR</t>
  </si>
  <si>
    <t xml:space="preserve">glutamyl-tRNA reductase</t>
  </si>
  <si>
    <t xml:space="preserve">h[c] + nadph[c] + LtRNAglu[c]  -&gt; nadp[c] + tRNAglu[c] + glu1sa[c] </t>
  </si>
  <si>
    <t xml:space="preserve">1.2.1.70</t>
  </si>
  <si>
    <t xml:space="preserve">AFE_2761</t>
  </si>
  <si>
    <t xml:space="preserve">HemA (AFE_2761)</t>
  </si>
  <si>
    <t xml:space="preserve">HemA</t>
  </si>
  <si>
    <t xml:space="preserve">GLUTRS</t>
  </si>
  <si>
    <t xml:space="preserve">Glutamyl-tRNA synthetase</t>
  </si>
  <si>
    <t xml:space="preserve">glu-L[c] + atp[c] + tRNAglu[c]  -&gt; h[c] + ppi[c] + amp[c] + LtRNAglu[c] </t>
  </si>
  <si>
    <t xml:space="preserve">6.1.1.17</t>
  </si>
  <si>
    <t xml:space="preserve">(AFE_2222 or AFE_0422 or AFE_0927)</t>
  </si>
  <si>
    <t xml:space="preserve">( GltX1 (AFE_2222) ) or ( GltX (AFE_0422) ) or ( AFE_0927 (AFE_0927) )</t>
  </si>
  <si>
    <t xml:space="preserve">( GltX1 ) or ( GltX ) or ( AFE_0927 )</t>
  </si>
  <si>
    <t xml:space="preserve">GLXCL</t>
  </si>
  <si>
    <t xml:space="preserve">glyoxalate carboligase</t>
  </si>
  <si>
    <t xml:space="preserve">h[c] + 2 glx[c]  &lt;=&gt; co2[c] + 2h3oppan[c] </t>
  </si>
  <si>
    <t xml:space="preserve">4.1.1.47</t>
  </si>
  <si>
    <t xml:space="preserve">Glyoxylate Metabolism</t>
  </si>
  <si>
    <t xml:space="preserve">GLXR</t>
  </si>
  <si>
    <t xml:space="preserve">glyoxylate reductase</t>
  </si>
  <si>
    <t xml:space="preserve">h[c] + nadph[c] + glx[c]  &lt;=&gt; nadp[c] + glyclt[c] </t>
  </si>
  <si>
    <t xml:space="preserve">1.1.99.14</t>
  </si>
  <si>
    <t xml:space="preserve">(Alternate Carbon Metabolism) or (Glycolate Metabolism)</t>
  </si>
  <si>
    <t xml:space="preserve">GLYCH</t>
  </si>
  <si>
    <t xml:space="preserve">D-lactate dehydrogenase (cytochrome) (EC:1.1.2.4) </t>
  </si>
  <si>
    <t xml:space="preserve">o2[c] + glyclt[c]  &lt;=&gt; h2o2[c] + glx[c] </t>
  </si>
  <si>
    <t xml:space="preserve">1.1.2.4</t>
  </si>
  <si>
    <t xml:space="preserve">(CO2 fixation) or (Rubisco Shunt) or (Calvin-Benson-Bassham Cycle)</t>
  </si>
  <si>
    <t xml:space="preserve">(AFE_1663 and AFE_1664 and AFE_1665)</t>
  </si>
  <si>
    <t xml:space="preserve">( GlcF (AFE_1663) and GlcE (AFE_1664) and GlcD (1665) )</t>
  </si>
  <si>
    <t xml:space="preserve">( GlcF and GlcE and GlcD )</t>
  </si>
  <si>
    <t xml:space="preserve">GLYCK</t>
  </si>
  <si>
    <t xml:space="preserve">glycerate kinase</t>
  </si>
  <si>
    <t xml:space="preserve">atp[c] + glyc-R[c]  &lt;=&gt; h[c] + adp[c] + 3pg[c] </t>
  </si>
  <si>
    <t xml:space="preserve">2.7.1.31</t>
  </si>
  <si>
    <t xml:space="preserve">GLYK</t>
  </si>
  <si>
    <t xml:space="preserve">glycerol kinase</t>
  </si>
  <si>
    <t xml:space="preserve">atp[c] + glyc[c]  &lt;=&gt; h[c] + adp[c] + glyc3p[c] </t>
  </si>
  <si>
    <t xml:space="preserve">2.7.1.30</t>
  </si>
  <si>
    <t xml:space="preserve">GMAND</t>
  </si>
  <si>
    <t xml:space="preserve">GDP-D-mannose dehydratase</t>
  </si>
  <si>
    <t xml:space="preserve">gdpmann[c]  &lt;=&gt; h2o[c] + gdpddman[c] </t>
  </si>
  <si>
    <t xml:space="preserve">4.2.1.47</t>
  </si>
  <si>
    <t xml:space="preserve">(AFE_2977 or AFE_3292)</t>
  </si>
  <si>
    <t xml:space="preserve">( Gmd1 (AFE_2977) or Gmd2 (AFE_3292) )</t>
  </si>
  <si>
    <t xml:space="preserve">( Gmd1 ) or ( Gmd2 )</t>
  </si>
  <si>
    <t xml:space="preserve">GMHEPAT</t>
  </si>
  <si>
    <t xml:space="preserve">D-glycero-D-manno-hepose 1-phosphate adenyltransferase</t>
  </si>
  <si>
    <t xml:space="preserve">h[c] + atp[c] + gmhep1p[c]  -&gt; ppi[c] + adphep-DD[c] </t>
  </si>
  <si>
    <t xml:space="preserve">2.7.7.70</t>
  </si>
  <si>
    <t xml:space="preserve">AFE_1406</t>
  </si>
  <si>
    <t xml:space="preserve">AFE_1406 (AFE_1406)</t>
  </si>
  <si>
    <t xml:space="preserve">GMHEPK</t>
  </si>
  <si>
    <t xml:space="preserve">D-glycero-D-manno-heptose 7-phosphate kinase</t>
  </si>
  <si>
    <t xml:space="preserve">atp[c] + gmhep7p[c]  -&gt; h[c] + adp[c] + gmhep17bp[c] </t>
  </si>
  <si>
    <t xml:space="preserve">5.3.1.28</t>
  </si>
  <si>
    <t xml:space="preserve">GMHEPPA</t>
  </si>
  <si>
    <t xml:space="preserve">D-glycero-D-manno-heptose 1,7-bisphosphate phosphatase</t>
  </si>
  <si>
    <t xml:space="preserve">h2o[c] + gmhep17bp[c]  -&gt; pi[c] + gmhep1p[c] </t>
  </si>
  <si>
    <t xml:space="preserve">3.1.3.82</t>
  </si>
  <si>
    <t xml:space="preserve">AFE_2582</t>
  </si>
  <si>
    <t xml:space="preserve">AFE_2582 (AFE_2582)</t>
  </si>
  <si>
    <t xml:space="preserve">GMPS2</t>
  </si>
  <si>
    <t xml:space="preserve">GMP synthase</t>
  </si>
  <si>
    <t xml:space="preserve">h2o[c] + atp[c] + gln-L[c] + xmp[c]  -&gt; 2 h[c] + glu-L[c] + ppi[c] + amp[c] + gmp[c] </t>
  </si>
  <si>
    <t xml:space="preserve">6.3.5.2</t>
  </si>
  <si>
    <t xml:space="preserve">AFE_1778</t>
  </si>
  <si>
    <t xml:space="preserve">GuaA (AFE_1778)</t>
  </si>
  <si>
    <t xml:space="preserve">GuaA</t>
  </si>
  <si>
    <t xml:space="preserve">GRTT</t>
  </si>
  <si>
    <t xml:space="preserve">geranyltranstransferase</t>
  </si>
  <si>
    <t xml:space="preserve">ipdp[c] + grdp[c]  -&gt; ppi[c] + frdp[c] </t>
  </si>
  <si>
    <t xml:space="preserve">2.5.1.10</t>
  </si>
  <si>
    <t xml:space="preserve">AFE_1975 </t>
  </si>
  <si>
    <t xml:space="preserve">IspA (AFE_1975 )</t>
  </si>
  <si>
    <t xml:space="preserve">IspA</t>
  </si>
  <si>
    <t xml:space="preserve">GSNK</t>
  </si>
  <si>
    <t xml:space="preserve">guanosine kinase</t>
  </si>
  <si>
    <t xml:space="preserve">atp[c] + gsn[c]  &lt;=&gt; h[c] + adp[c] + gmp[c] </t>
  </si>
  <si>
    <t xml:space="preserve">2.7.1.73</t>
  </si>
  <si>
    <t xml:space="preserve">GTHS</t>
  </si>
  <si>
    <t xml:space="preserve">glutathione synthetase</t>
  </si>
  <si>
    <t xml:space="preserve">atp[c] + gly[c] + glucys[c]  -&gt; h[c] + pi[c] + adp[c] + gthrd[c] </t>
  </si>
  <si>
    <t xml:space="preserve">6.3.2.3</t>
  </si>
  <si>
    <t xml:space="preserve">AFE_3063</t>
  </si>
  <si>
    <t xml:space="preserve">GshB (AFE_3063)</t>
  </si>
  <si>
    <t xml:space="preserve">GshB</t>
  </si>
  <si>
    <t xml:space="preserve">GTPCI</t>
  </si>
  <si>
    <t xml:space="preserve">GTP cyclohydrolase I</t>
  </si>
  <si>
    <t xml:space="preserve">h2o[c] + gtp[c]  -&gt; h[c] + for[c] + ahdt[c] </t>
  </si>
  <si>
    <t xml:space="preserve">3.5.4.16</t>
  </si>
  <si>
    <t xml:space="preserve">AFE_1973 </t>
  </si>
  <si>
    <t xml:space="preserve">AFE_1973 (AFE_1973)</t>
  </si>
  <si>
    <t xml:space="preserve">GTPCII2</t>
  </si>
  <si>
    <t xml:space="preserve">GTP cyclohydrolase II (2dhpp)</t>
  </si>
  <si>
    <t xml:space="preserve">3 h2o[c] + gtp[c]  -&gt; h[c] + for[c] + ppi[c] + 2dhpp[c] </t>
  </si>
  <si>
    <t xml:space="preserve">3.5.4.25</t>
  </si>
  <si>
    <t xml:space="preserve">AFE_0299</t>
  </si>
  <si>
    <t xml:space="preserve">RibBA (AFE_0299)</t>
  </si>
  <si>
    <t xml:space="preserve">RibBA</t>
  </si>
  <si>
    <t xml:space="preserve">GUAD</t>
  </si>
  <si>
    <t xml:space="preserve">Guanine deaminase </t>
  </si>
  <si>
    <t xml:space="preserve">h[c] + h2o[c] + gua[c]  -&gt; nh4[c] + xan[c] </t>
  </si>
  <si>
    <t xml:space="preserve">3.5.4.3</t>
  </si>
  <si>
    <t xml:space="preserve">AFE_0772</t>
  </si>
  <si>
    <t xml:space="preserve">AFE_0772 (AFE_0772)</t>
  </si>
  <si>
    <t xml:space="preserve">GUAPRT</t>
  </si>
  <si>
    <t xml:space="preserve">guanine phosphoribosyltransferase</t>
  </si>
  <si>
    <t xml:space="preserve">ppi[c] + gmp[c]  &lt;=&gt; prpp[c] + gua[c] </t>
  </si>
  <si>
    <t xml:space="preserve">2.4.2.8</t>
  </si>
  <si>
    <t xml:space="preserve">AFE_0364</t>
  </si>
  <si>
    <t xml:space="preserve">AFE_0364 (AFE_0364)</t>
  </si>
  <si>
    <t xml:space="preserve">H2Otex</t>
  </si>
  <si>
    <t xml:space="preserve">h2o transport</t>
  </si>
  <si>
    <t xml:space="preserve">h2o[e]  &lt;=&gt; h2o[p] </t>
  </si>
  <si>
    <t xml:space="preserve">H2Otpp</t>
  </si>
  <si>
    <t xml:space="preserve">h2o transport (citoplasm)</t>
  </si>
  <si>
    <t xml:space="preserve">h2o[p]  &lt;=&gt; h2o[c] </t>
  </si>
  <si>
    <t xml:space="preserve">H2Stex</t>
  </si>
  <si>
    <t xml:space="preserve">h2s transport</t>
  </si>
  <si>
    <t xml:space="preserve">h2s[p]  &lt;=&gt; h2s[e] </t>
  </si>
  <si>
    <t xml:space="preserve">H2Stpp</t>
  </si>
  <si>
    <t xml:space="preserve">h2s transport (citoplasm)</t>
  </si>
  <si>
    <t xml:space="preserve">h2s[c]  &lt;=&gt; h2s[p] </t>
  </si>
  <si>
    <t xml:space="preserve">H2tex</t>
  </si>
  <si>
    <t xml:space="preserve">h2 transport</t>
  </si>
  <si>
    <t xml:space="preserve">h2[p]  &lt;=&gt; h2[e] </t>
  </si>
  <si>
    <t xml:space="preserve">H2tpp</t>
  </si>
  <si>
    <t xml:space="preserve">h2 transport (citoplasm)</t>
  </si>
  <si>
    <t xml:space="preserve">h2[p]  &lt;=&gt; h2[c] </t>
  </si>
  <si>
    <t xml:space="preserve">HACT</t>
  </si>
  <si>
    <t xml:space="preserve">O-acetyl-L-homoserine:methanethiol 3-amino-3-carboxypropyltransferase</t>
  </si>
  <si>
    <t xml:space="preserve">h2s[c] + achms[c]  &lt;=&gt; h[c] + ac[c] + hcys-L[c] </t>
  </si>
  <si>
    <t xml:space="preserve">2.5.1.49</t>
  </si>
  <si>
    <t xml:space="preserve">AFE_2063</t>
  </si>
  <si>
    <t xml:space="preserve">MetZ (AFE_2063)</t>
  </si>
  <si>
    <t xml:space="preserve">MetZ</t>
  </si>
  <si>
    <t xml:space="preserve">HBPPT</t>
  </si>
  <si>
    <t xml:space="preserve">4-hydroxybenzoate polyprenyltransferase</t>
  </si>
  <si>
    <t xml:space="preserve">4hbz[c] + octdp[c]  &lt;=&gt; ppi[c] + 3ophb[c] </t>
  </si>
  <si>
    <t xml:space="preserve">2.5.1.39</t>
  </si>
  <si>
    <t xml:space="preserve">AFE_0592</t>
  </si>
  <si>
    <t xml:space="preserve">UbiA (AFE_0592)</t>
  </si>
  <si>
    <t xml:space="preserve">UbiA</t>
  </si>
  <si>
    <t xml:space="preserve">HCO3E</t>
  </si>
  <si>
    <t xml:space="preserve">carbonic anhydrase</t>
  </si>
  <si>
    <t xml:space="preserve">h2o[c] + co2[c]  &lt;=&gt; h[c] + hco3[c] </t>
  </si>
  <si>
    <t xml:space="preserve">4.2.1.1</t>
  </si>
  <si>
    <t xml:space="preserve">(CO2 fixation) or (Rubisco Shunt) or (Calvin-Benson-Bassham Cycle) </t>
  </si>
  <si>
    <t xml:space="preserve">AFE_0287</t>
  </si>
  <si>
    <t xml:space="preserve">AFE_0287 (AFE_0287)</t>
  </si>
  <si>
    <t xml:space="preserve">HCO3tex</t>
  </si>
  <si>
    <t xml:space="preserve">hco3 transport</t>
  </si>
  <si>
    <t xml:space="preserve">h2co3[e]  &lt;=&gt; h2co3[p] </t>
  </si>
  <si>
    <t xml:space="preserve">HCO3tpp</t>
  </si>
  <si>
    <t xml:space="preserve">hco3 transport (citoplasm)</t>
  </si>
  <si>
    <t xml:space="preserve">h2co3[p]  &lt;=&gt; h[c] + hco3[c] </t>
  </si>
  <si>
    <t xml:space="preserve">HCYSMT</t>
  </si>
  <si>
    <t xml:space="preserve">homocysteine S-methyltransferase</t>
  </si>
  <si>
    <t xml:space="preserve">amet[c] + hcys-L[c]  &lt;=&gt; h[c] + met-L[c] + ahcys[c] </t>
  </si>
  <si>
    <t xml:space="preserve">2.1.1.10</t>
  </si>
  <si>
    <t xml:space="preserve">AFE_3126</t>
  </si>
  <si>
    <t xml:space="preserve">CobA (AFE_3126)</t>
  </si>
  <si>
    <t xml:space="preserve">CobA</t>
  </si>
  <si>
    <t xml:space="preserve">HETZK</t>
  </si>
  <si>
    <t xml:space="preserve">hydroxyethylthiazole kinase</t>
  </si>
  <si>
    <t xml:space="preserve">atp[c] + 4mhetz[c]  &lt;=&gt; h[c] + adp[c] + 4mpetz[c] </t>
  </si>
  <si>
    <t xml:space="preserve">2.7.1.50</t>
  </si>
  <si>
    <t xml:space="preserve">AFE_0523</t>
  </si>
  <si>
    <t xml:space="preserve">ThiJ (AFE_0523)</t>
  </si>
  <si>
    <t xml:space="preserve">ThiJ</t>
  </si>
  <si>
    <t xml:space="preserve">HISTD1</t>
  </si>
  <si>
    <t xml:space="preserve">histidinol dehydrogenase</t>
  </si>
  <si>
    <t xml:space="preserve">nad[c] + histd[c]  &lt;=&gt; h[c] + nadh[c] + hist-L[c] </t>
  </si>
  <si>
    <t xml:space="preserve">1.1.1.23</t>
  </si>
  <si>
    <t xml:space="preserve">AFE_3041</t>
  </si>
  <si>
    <t xml:space="preserve">HisD (AFE_3041)</t>
  </si>
  <si>
    <t xml:space="preserve">HisD</t>
  </si>
  <si>
    <t xml:space="preserve">HISTD2</t>
  </si>
  <si>
    <t xml:space="preserve">Histidinal dehydrogenase </t>
  </si>
  <si>
    <t xml:space="preserve">h2o[c] + nad[c] + hist-L[c]  -&gt; 2 h[c] + nadh[c] + his-L[c] </t>
  </si>
  <si>
    <t xml:space="preserve">HISTP</t>
  </si>
  <si>
    <t xml:space="preserve">Histidinol-phosphatase</t>
  </si>
  <si>
    <t xml:space="preserve">h2o[c] + hisp[c]  -&gt; pi[c] + histd[c] </t>
  </si>
  <si>
    <t xml:space="preserve">3.1.3.15</t>
  </si>
  <si>
    <t xml:space="preserve">AFE_3043</t>
  </si>
  <si>
    <t xml:space="preserve">HistB (AFE_3043)</t>
  </si>
  <si>
    <t xml:space="preserve">HistB</t>
  </si>
  <si>
    <t xml:space="preserve">HKDOS</t>
  </si>
  <si>
    <t xml:space="preserve">Lipopolysaccharide heptosyltransferase Iacyltransferase </t>
  </si>
  <si>
    <t xml:space="preserve">kdo2_AFE[c] + 0.03 adphep-LD[c]  -&gt; hlipa_AFE[c] </t>
  </si>
  <si>
    <t xml:space="preserve">( Lipopolysaccharide Biosynthesis ) or ( KDO(2)-AFE synthesis )</t>
  </si>
  <si>
    <t xml:space="preserve">HKMPP</t>
  </si>
  <si>
    <t xml:space="preserve">2-hydroxy-3-keto-5-methylthiopentenyl-1-phosphate phosphatase</t>
  </si>
  <si>
    <t xml:space="preserve">h2o[c] + 2h3kto5me1pe[c]  -&gt; h[c] + pi[c] + 12dhy3meten[c] </t>
  </si>
  <si>
    <t xml:space="preserve">3.1.3.87</t>
  </si>
  <si>
    <t xml:space="preserve">AFE_0435</t>
  </si>
  <si>
    <t xml:space="preserve">AFE_0435 (AFE_0435)</t>
  </si>
  <si>
    <t xml:space="preserve">HMBS</t>
  </si>
  <si>
    <t xml:space="preserve">hydroxymethylbilane synthase</t>
  </si>
  <si>
    <t xml:space="preserve">h2o[c] + 4 ppbng[c]  &lt;=&gt; hmbil[c] + 4 nh4[c] </t>
  </si>
  <si>
    <t xml:space="preserve">2.5.1.61</t>
  </si>
  <si>
    <t xml:space="preserve">AFE_3300</t>
  </si>
  <si>
    <t xml:space="preserve">HemC (AFE_3300)</t>
  </si>
  <si>
    <t xml:space="preserve">HemC</t>
  </si>
  <si>
    <t xml:space="preserve">HMPK1</t>
  </si>
  <si>
    <t xml:space="preserve">hydroxymethylpyrimidine kinase (ATP)</t>
  </si>
  <si>
    <t xml:space="preserve">atp[c] + 4ahmmp[c]  &lt;=&gt; h[c] + adp[c] + 4ampm[c] </t>
  </si>
  <si>
    <t xml:space="preserve">2.7.1.49</t>
  </si>
  <si>
    <t xml:space="preserve">AFE_3305 </t>
  </si>
  <si>
    <t xml:space="preserve">AFE_3305 (AFE_3305 )</t>
  </si>
  <si>
    <t xml:space="preserve">HMSK</t>
  </si>
  <si>
    <t xml:space="preserve">Homoserine kinase </t>
  </si>
  <si>
    <t xml:space="preserve">atp[c] + hom-L[c]  &lt;=&gt; h[c] + adp[c] + phom[c] </t>
  </si>
  <si>
    <t xml:space="preserve">2.7.1.39</t>
  </si>
  <si>
    <t xml:space="preserve">AFE_3097</t>
  </si>
  <si>
    <t xml:space="preserve">ThrB (AFE_3097)</t>
  </si>
  <si>
    <t xml:space="preserve">ThrB</t>
  </si>
  <si>
    <t xml:space="preserve">HPPK2</t>
  </si>
  <si>
    <t xml:space="preserve">6-hydroxymethyl-dihydropterin pyrophosphokinase</t>
  </si>
  <si>
    <t xml:space="preserve">atp[c] + 6hmhpt[c]  -&gt; h[c] + amp[c] + 2ahhmd[c] </t>
  </si>
  <si>
    <t xml:space="preserve">2.7.6.3</t>
  </si>
  <si>
    <t xml:space="preserve">HSDy</t>
  </si>
  <si>
    <t xml:space="preserve">homoserine dehydrogenase (NADPH)</t>
  </si>
  <si>
    <t xml:space="preserve">nadp[c] + hom-L[c]  &lt;=&gt; h[c] + nadph[c] + aspsa[c] </t>
  </si>
  <si>
    <t xml:space="preserve">1.1.1.3</t>
  </si>
  <si>
    <t xml:space="preserve">AFE_0473</t>
  </si>
  <si>
    <t xml:space="preserve">MetM (AFE_0473)</t>
  </si>
  <si>
    <t xml:space="preserve">MetM</t>
  </si>
  <si>
    <t xml:space="preserve">HSERTA</t>
  </si>
  <si>
    <t xml:space="preserve">Homoserine O-acetyltransferase</t>
  </si>
  <si>
    <t xml:space="preserve">accoa[c] + hom-L[c]  &lt;=&gt; coa[c] + achms[c] </t>
  </si>
  <si>
    <t xml:space="preserve">2.3.1.31</t>
  </si>
  <si>
    <t xml:space="preserve">AFE_0293</t>
  </si>
  <si>
    <t xml:space="preserve">MetX (AFE_0293)</t>
  </si>
  <si>
    <t xml:space="preserve">MetX</t>
  </si>
  <si>
    <t xml:space="preserve">HSTPT</t>
  </si>
  <si>
    <t xml:space="preserve">histidinol-phosphate transaminase</t>
  </si>
  <si>
    <t xml:space="preserve">glu-L[c] + imacp[c]  &lt;=&gt; akg[c] + hisp[c] </t>
  </si>
  <si>
    <t xml:space="preserve">2.6.1.9</t>
  </si>
  <si>
    <t xml:space="preserve">(AFE_3042 and AFE_0898)</t>
  </si>
  <si>
    <t xml:space="preserve">( HisC1 (AFE_3042) and HisC2 (AFE_0898) )</t>
  </si>
  <si>
    <t xml:space="preserve">( HisC1 and HisC2 )</t>
  </si>
  <si>
    <t xml:space="preserve">HXAND</t>
  </si>
  <si>
    <t xml:space="preserve">hypoxanthine dehydrogenase</t>
  </si>
  <si>
    <t xml:space="preserve">h2o[c] + nad[c] + hxan[c]  &lt;=&gt; h[c] + nadh[c] + xan[c] </t>
  </si>
  <si>
    <t xml:space="preserve">1.17.1.4</t>
  </si>
  <si>
    <t xml:space="preserve">(AFE_0780 and AFE_0777 and AFE_0776 and AFE_0775)</t>
  </si>
  <si>
    <t xml:space="preserve">( AFE_0780 (AFE_0780) and AFE_0777 (AFE_0777) and AFE_0776 (AFE_0776) and AFE_0775 (AFE_0775) )</t>
  </si>
  <si>
    <t xml:space="preserve">( AFE_0780 and AFE_0777 and AFE_0776 and AFE_0775 )</t>
  </si>
  <si>
    <t xml:space="preserve">HXPRT</t>
  </si>
  <si>
    <t xml:space="preserve">hypoxanthine phosphoribosyltransferase (Hypoxanthine)</t>
  </si>
  <si>
    <t xml:space="preserve">prpp[c] + hxan[c]  -&gt; ppi[c] + imp[c] </t>
  </si>
  <si>
    <t xml:space="preserve">HYD1pp</t>
  </si>
  <si>
    <t xml:space="preserve">hydrogenase I</t>
  </si>
  <si>
    <t xml:space="preserve">2 h[c] + q8[c] + h2[p]  -&gt; 2 h[p] + q8h2[c] </t>
  </si>
  <si>
    <t xml:space="preserve">Hydrogen and Formate Utilization</t>
  </si>
  <si>
    <t xml:space="preserve">(AFE_3283 and AFE_3284 and AFE_3285 and AFE_3286)</t>
  </si>
  <si>
    <t xml:space="preserve">( HynS (AFE_3283) and Isp1 (AFE_3284) and Isp2 (AFE_3285) and HynL (AFE_3286) )</t>
  </si>
  <si>
    <t xml:space="preserve">( HynS and Isp1 and Isp2 and HynL )</t>
  </si>
  <si>
    <t xml:space="preserve">HYD3pp</t>
  </si>
  <si>
    <t xml:space="preserve">hydrogenase III</t>
  </si>
  <si>
    <t xml:space="preserve">2 h[c] + q8[c] + h2[c]  -&gt; 2 h[p] + q8h2[c] </t>
  </si>
  <si>
    <t xml:space="preserve">(AFE_0937 and AFE_0938 and AFE_0939 and AFE_0940)</t>
  </si>
  <si>
    <t xml:space="preserve">( HoxH (AFE_0937) and HoxY (AFE_0938) and HoxJ (AFE_0939) and HoxF (AFE_0940) )</t>
  </si>
  <si>
    <t xml:space="preserve">( HoxH and HoxY and HoxJ and HoxF )</t>
  </si>
  <si>
    <t xml:space="preserve">HYD4</t>
  </si>
  <si>
    <t xml:space="preserve">hydrogenase IV</t>
  </si>
  <si>
    <t xml:space="preserve">h[c] + for[c]  -&gt; co2[c] + h2[c] </t>
  </si>
  <si>
    <t xml:space="preserve">(AFE_2154 and AFE_2153 and AFE_2152 and AFE_2151 and AFE_2150 and AFE_2149)</t>
  </si>
  <si>
    <t xml:space="preserve">( HyfI (AFE_2154) and HyfG (AFE_2153) and HyfF (AFE_2152) and HyfE (AFE_2151) and HyfC (AFE_2150) and HyfB (AFE_2149) )</t>
  </si>
  <si>
    <t xml:space="preserve">( HyfI and HyfG and HyfF and HyfE and HyfC and HyfB )</t>
  </si>
  <si>
    <t xml:space="preserve">Htex</t>
  </si>
  <si>
    <t xml:space="preserve">h transport</t>
  </si>
  <si>
    <t xml:space="preserve">h[p]  &lt;=&gt; h[e] </t>
  </si>
  <si>
    <t xml:space="preserve">Htpp</t>
  </si>
  <si>
    <t xml:space="preserve">h transport (citoplasm)</t>
  </si>
  <si>
    <t xml:space="preserve">h[c]  &lt;=&gt; h[p] </t>
  </si>
  <si>
    <t xml:space="preserve">ICDHyr</t>
  </si>
  <si>
    <t xml:space="preserve">isocitrate dehydrogenase (NADP)</t>
  </si>
  <si>
    <t xml:space="preserve">nadp[c] + icit[c]  &lt;=&gt; co2[c] + akg[c] + nadph[c] </t>
  </si>
  <si>
    <t xml:space="preserve">1.1.1.42</t>
  </si>
  <si>
    <t xml:space="preserve">AFE_0424</t>
  </si>
  <si>
    <t xml:space="preserve">Icd (AFE_0424)</t>
  </si>
  <si>
    <t xml:space="preserve">Icd</t>
  </si>
  <si>
    <t xml:space="preserve">ICITRED</t>
  </si>
  <si>
    <t xml:space="preserve">nadp[c] + icit[c]  &lt;=&gt; h[c] + nadph[c] + osuc[c] </t>
  </si>
  <si>
    <t xml:space="preserve">IG3PS</t>
  </si>
  <si>
    <t xml:space="preserve">Imidazole-glycerol-3-phosphate synthase</t>
  </si>
  <si>
    <t xml:space="preserve">gln-L[c] + prlp[c]  -&gt; h[c] + glu-L[c] + eig3p[c] + aicar[c] </t>
  </si>
  <si>
    <t xml:space="preserve">2.4.2.-</t>
  </si>
  <si>
    <t xml:space="preserve">(AFE_3046 and AFE_3044)</t>
  </si>
  <si>
    <t xml:space="preserve">( HisF (AFE_3046) and HisH (AFE_3044) )</t>
  </si>
  <si>
    <t xml:space="preserve">( HisF and HisH )</t>
  </si>
  <si>
    <t xml:space="preserve">IGPDH</t>
  </si>
  <si>
    <t xml:space="preserve">imidazoleglycerol-phosphate dehydratase</t>
  </si>
  <si>
    <t xml:space="preserve">eig3p[c]  -&gt; h2o[c] + imacp[c] </t>
  </si>
  <si>
    <t xml:space="preserve">4.2.1.19</t>
  </si>
  <si>
    <t xml:space="preserve">HisB (AFE_3043)</t>
  </si>
  <si>
    <t xml:space="preserve">HisB</t>
  </si>
  <si>
    <t xml:space="preserve">IGPS</t>
  </si>
  <si>
    <t xml:space="preserve">indole-3-glycerol-phosphate synthase</t>
  </si>
  <si>
    <t xml:space="preserve">h[c] + 2cpr5p[c]  &lt;=&gt; h2o[c] + co2[c] + 3ig3p[c] </t>
  </si>
  <si>
    <t xml:space="preserve">4.1.1.48</t>
  </si>
  <si>
    <t xml:space="preserve">AFE_3242</t>
  </si>
  <si>
    <t xml:space="preserve">TrpC (AFE_3242)</t>
  </si>
  <si>
    <t xml:space="preserve">TrpC</t>
  </si>
  <si>
    <t xml:space="preserve">ILETA</t>
  </si>
  <si>
    <t xml:space="preserve">isoleucine transaminase</t>
  </si>
  <si>
    <t xml:space="preserve">akg[c] + ile-L[c]  &lt;=&gt; glu-L[c] + 3mop[c] </t>
  </si>
  <si>
    <t xml:space="preserve">2.6.1.42</t>
  </si>
  <si>
    <t xml:space="preserve">AFE_0547</t>
  </si>
  <si>
    <t xml:space="preserve">IlvE (AFE_0547)</t>
  </si>
  <si>
    <t xml:space="preserve">IlvE</t>
  </si>
  <si>
    <t xml:space="preserve">IMPC</t>
  </si>
  <si>
    <t xml:space="preserve">IMP cyclohydrolase</t>
  </si>
  <si>
    <t xml:space="preserve">h2o[c] + imp[c]  &lt;=&gt; fprica[c] </t>
  </si>
  <si>
    <t xml:space="preserve">3.5.4.10</t>
  </si>
  <si>
    <t xml:space="preserve">IMPD</t>
  </si>
  <si>
    <t xml:space="preserve">IMP dehydrogenase</t>
  </si>
  <si>
    <t xml:space="preserve">h2o[c] + nad[c] + imp[c]  -&gt; h[c] + nadh[c] + xmp[c] </t>
  </si>
  <si>
    <t xml:space="preserve">1.1.1.205</t>
  </si>
  <si>
    <t xml:space="preserve">AFE_1777</t>
  </si>
  <si>
    <t xml:space="preserve">GuaB (AFE_1777)</t>
  </si>
  <si>
    <t xml:space="preserve">GuaB</t>
  </si>
  <si>
    <t xml:space="preserve">INSK</t>
  </si>
  <si>
    <t xml:space="preserve">insosine kinase</t>
  </si>
  <si>
    <t xml:space="preserve">atp[c] + ins[c]  &lt;=&gt; h[c] + adp[c] + imp[c] </t>
  </si>
  <si>
    <t xml:space="preserve">IPDDI</t>
  </si>
  <si>
    <t xml:space="preserve">isopentenyl-diphosphate D-isomerase</t>
  </si>
  <si>
    <t xml:space="preserve">ipdp[c]  &lt;=&gt; dmpp[c] </t>
  </si>
  <si>
    <t xml:space="preserve">5.3.3.2</t>
  </si>
  <si>
    <t xml:space="preserve">(Cofactor and Prosthetic Group Biosynthesis) or (trans,trans-farnesyl diphosphate Biosynthesis)</t>
  </si>
  <si>
    <t xml:space="preserve">IPDPS</t>
  </si>
  <si>
    <t xml:space="preserve">1-hydroxy-2-methyl-2-(E)-butenyl 4-diphosphate reductase (ipdp)</t>
  </si>
  <si>
    <t xml:space="preserve">h[c] + nadph[c] + h2mb4p[c]  -&gt; h2o[c] + nadp[c] + ipdp[c] </t>
  </si>
  <si>
    <t xml:space="preserve">IPMD</t>
  </si>
  <si>
    <t xml:space="preserve">3-isopropylmalate dehydrogenase</t>
  </si>
  <si>
    <t xml:space="preserve">nad[c] + 3c2hmp[c]  -&gt; h[c] + nadh[c] + 3c4mop[c] </t>
  </si>
  <si>
    <t xml:space="preserve">1.1.1.85</t>
  </si>
  <si>
    <t xml:space="preserve">2656656 &amp;&amp; 9532798 &amp;&amp; 8282728 &amp;&amp; 9739088</t>
  </si>
  <si>
    <t xml:space="preserve">AFE_2075</t>
  </si>
  <si>
    <t xml:space="preserve">LeuB (AFE_2075 )</t>
  </si>
  <si>
    <t xml:space="preserve">LeuB</t>
  </si>
  <si>
    <t xml:space="preserve">IPPMIa</t>
  </si>
  <si>
    <t xml:space="preserve">3-isopropylmalate dehydratase</t>
  </si>
  <si>
    <t xml:space="preserve">3c3hmp[c]  &lt;=&gt; 3c2hmp[c] </t>
  </si>
  <si>
    <t xml:space="preserve">4.2.1.33</t>
  </si>
  <si>
    <t xml:space="preserve">(AFE_0624 and AFE_0626)</t>
  </si>
  <si>
    <t xml:space="preserve">( LeuC (AFE_0624) and  LeuD (AFE_0626) )</t>
  </si>
  <si>
    <t xml:space="preserve">( LeuC and LeuD )</t>
  </si>
  <si>
    <t xml:space="preserve">IPPS</t>
  </si>
  <si>
    <t xml:space="preserve">2-isopropylmalate synthase</t>
  </si>
  <si>
    <t xml:space="preserve">h2o[c] + accoa[c] + 3mob[c]  -&gt; h[c] + coa[c] + 3c3hmp[c] </t>
  </si>
  <si>
    <t xml:space="preserve">2.3.3.13</t>
  </si>
  <si>
    <t xml:space="preserve">(AFE_2596 and AFE_1989)</t>
  </si>
  <si>
    <t xml:space="preserve">( LeuA1 (AFE_2596) and LeuA2 (AFE_1989) ) </t>
  </si>
  <si>
    <t xml:space="preserve">( LeuA1 and LeuA2 )</t>
  </si>
  <si>
    <t xml:space="preserve">KARA1</t>
  </si>
  <si>
    <t xml:space="preserve">ketol-acid reductoisomerase (2,3-dihydroxy-3-methylbutanoate)</t>
  </si>
  <si>
    <t xml:space="preserve">nadp[c] + 23dhmb[c]  &lt;=&gt; h[c] + alac-S[c] + nadph[c] </t>
  </si>
  <si>
    <t xml:space="preserve">1.1.1.86</t>
  </si>
  <si>
    <t xml:space="preserve">AFE_0747</t>
  </si>
  <si>
    <t xml:space="preserve">IlvC (AFE_0747)</t>
  </si>
  <si>
    <t xml:space="preserve">IlvC</t>
  </si>
  <si>
    <t xml:space="preserve">KARA2</t>
  </si>
  <si>
    <t xml:space="preserve">ketol-acid reductoisomerase (2-Acetolactate)</t>
  </si>
  <si>
    <t xml:space="preserve">h[c] + nadph[c] + 2ahbut[c]  &lt;=&gt; nadp[c] + 23dhmp[c] </t>
  </si>
  <si>
    <t xml:space="preserve">KDOCT</t>
  </si>
  <si>
    <t xml:space="preserve">3-deoxy-D-manno-octulosonic-acid transferase</t>
  </si>
  <si>
    <t xml:space="preserve">ckdo[c]  -&gt; h[c] + cmp[c] + kdo_AFE[c] </t>
  </si>
  <si>
    <t xml:space="preserve">2.4.99.12</t>
  </si>
  <si>
    <t xml:space="preserve">AFE_0237</t>
  </si>
  <si>
    <t xml:space="preserve">KdtA (AFE_0237)</t>
  </si>
  <si>
    <t xml:space="preserve">KdtA</t>
  </si>
  <si>
    <t xml:space="preserve">KDOCT2</t>
  </si>
  <si>
    <t xml:space="preserve">3-deoxy-manno-octulosonate cytidylyltransferase</t>
  </si>
  <si>
    <t xml:space="preserve">ctp[c] + kdo[c]  &lt;=&gt; ppi[c] + ckdo[c] </t>
  </si>
  <si>
    <t xml:space="preserve">2.7.7.38</t>
  </si>
  <si>
    <t xml:space="preserve">( Lipopolysaccharide Biosynthesis ) or ( CMP-KDO biosynthesis )</t>
  </si>
  <si>
    <t xml:space="preserve">AFE_0491 </t>
  </si>
  <si>
    <t xml:space="preserve">KdsB (AFE_0491 )</t>
  </si>
  <si>
    <t xml:space="preserve">KdsB</t>
  </si>
  <si>
    <t xml:space="preserve">KDOCT3</t>
  </si>
  <si>
    <t xml:space="preserve">ckdo[c] + kdo_AFE[c]  -&gt; kdo2_AFE[c] </t>
  </si>
  <si>
    <t xml:space="preserve">2.4.99.13</t>
  </si>
  <si>
    <t xml:space="preserve">KDOPP</t>
  </si>
  <si>
    <t xml:space="preserve">3-deoxy-manno-octulosonate-8-phosphatase</t>
  </si>
  <si>
    <t xml:space="preserve">h2o[c] + kdo8p[c]  &lt;=&gt; pi[c] + kdo[c] </t>
  </si>
  <si>
    <t xml:space="preserve">3.1.3.45</t>
  </si>
  <si>
    <t xml:space="preserve">AFE_3029</t>
  </si>
  <si>
    <t xml:space="preserve">KdsC (AFE_3029)</t>
  </si>
  <si>
    <t xml:space="preserve">KdsC</t>
  </si>
  <si>
    <t xml:space="preserve">KDOPS</t>
  </si>
  <si>
    <t xml:space="preserve">3-deoxy -D-manno-octulosonic -acid 8-phosphate synthase</t>
  </si>
  <si>
    <t xml:space="preserve">h2o[c] + pep[c] + ara5p[c]  -&gt; pi[c] + kdo8p[c] </t>
  </si>
  <si>
    <t xml:space="preserve">2.5.1.55</t>
  </si>
  <si>
    <t xml:space="preserve">AFE_0848</t>
  </si>
  <si>
    <t xml:space="preserve">KdsA (AFE_0848)</t>
  </si>
  <si>
    <t xml:space="preserve">KdsA</t>
  </si>
  <si>
    <t xml:space="preserve">KMBT</t>
  </si>
  <si>
    <t xml:space="preserve">2-keto-4-methylthiobutyrate transamination</t>
  </si>
  <si>
    <t xml:space="preserve">glu-L[c] + 2kmb[c]  -&gt; akg[c] + met-L[c] </t>
  </si>
  <si>
    <t xml:space="preserve">2.6.1.5</t>
  </si>
  <si>
    <t xml:space="preserve">Ktex</t>
  </si>
  <si>
    <t xml:space="preserve">k transport</t>
  </si>
  <si>
    <t xml:space="preserve">k[e]  &lt;=&gt; k[p] </t>
  </si>
  <si>
    <t xml:space="preserve">Ktpp</t>
  </si>
  <si>
    <t xml:space="preserve">voltage-gated potassium channel</t>
  </si>
  <si>
    <t xml:space="preserve">k[p]  -&gt; k[c] </t>
  </si>
  <si>
    <t xml:space="preserve">(AFE_2922 or AFE_1968 or AFE_3093 or AFE_1753)</t>
  </si>
  <si>
    <t xml:space="preserve">( AFE_2922 (AFE_2922) ) or ( AFE_1968 (AFE_1968) ) or ( AFE_3093 (AFE_3093) ) or ( Kup (AFE_1753) )</t>
  </si>
  <si>
    <t xml:space="preserve">( AFE_2922 ) or ( AFE_1968 ) or ( AFE_3093 ) or ( Kup )</t>
  </si>
  <si>
    <t xml:space="preserve">LDAS</t>
  </si>
  <si>
    <t xml:space="preserve">Lipid A biosynthesis lauroyl acyltransferase</t>
  </si>
  <si>
    <t xml:space="preserve">ddcaACP[c] + lipid4A_AFE[c]  -&gt; ACP[c] + ddcalipid4A_AFE[c] </t>
  </si>
  <si>
    <t xml:space="preserve">2.3.1.-</t>
  </si>
  <si>
    <t xml:space="preserve">( Lipopolysaccharide Biosynthesis ) or ( Lipid A synthesis )</t>
  </si>
  <si>
    <t xml:space="preserve">AFE_0238</t>
  </si>
  <si>
    <t xml:space="preserve">AFE_0238 (AFE_0238)</t>
  </si>
  <si>
    <t xml:space="preserve">LEUTA</t>
  </si>
  <si>
    <t xml:space="preserve">leucine transaminase</t>
  </si>
  <si>
    <t xml:space="preserve">akg[c] + leu-L[c]  &lt;=&gt; glu-L[c] + 4mop[c] </t>
  </si>
  <si>
    <t xml:space="preserve">LIPA</t>
  </si>
  <si>
    <t xml:space="preserve">0.43 dtdprmn[c] + 0.01 gdpmann[c] + 0.52 dtdpglu[c] + hlipa_AFE[c] + 0.01 gam[c]  -&gt; 0.94 dtdp[c] + 0.01 gdp[c] + polysac_AFE[c] </t>
  </si>
  <si>
    <t xml:space="preserve">LIPS</t>
  </si>
  <si>
    <t xml:space="preserve">Myristoyl-acyl carrier protein-dependent acyltransferase</t>
  </si>
  <si>
    <t xml:space="preserve">myrsACP[c] + ddcalipid4A_AFE[c]  -&gt; ACP[c] + lip_AFE[c] </t>
  </si>
  <si>
    <t xml:space="preserve">LPADSS</t>
  </si>
  <si>
    <t xml:space="preserve">Lipid A disaccaride synthase</t>
  </si>
  <si>
    <t xml:space="preserve">biglucpypi[c] + udpglucpy[c]  -&gt; h[c] + udp[c] + lipidA_AFE[c] </t>
  </si>
  <si>
    <t xml:space="preserve">2.4.1.182</t>
  </si>
  <si>
    <t xml:space="preserve">AFE_1459</t>
  </si>
  <si>
    <t xml:space="preserve">LpxB (AFE_1459)</t>
  </si>
  <si>
    <t xml:space="preserve">LpxB</t>
  </si>
  <si>
    <t xml:space="preserve">LPS</t>
  </si>
  <si>
    <t xml:space="preserve">lipolysaccharide formation</t>
  </si>
  <si>
    <t xml:space="preserve">1.6 polysac_AFE[c] + 0.3 lip_AFE[c]  -&gt; lps_AFE[c] </t>
  </si>
  <si>
    <t xml:space="preserve">MACPD</t>
  </si>
  <si>
    <t xml:space="preserve">Malonyl-ACP decarboxylase</t>
  </si>
  <si>
    <t xml:space="preserve">h[c] + malACP[c]  -&gt; co2[c] + acACP[c] </t>
  </si>
  <si>
    <t xml:space="preserve">MALS</t>
  </si>
  <si>
    <t xml:space="preserve">malate synthase</t>
  </si>
  <si>
    <t xml:space="preserve">h2o[c] + accoa[c] + glx[c]  -&gt; h[c] + coa[c] + mal-L[c] </t>
  </si>
  <si>
    <t xml:space="preserve">2.3.3.9</t>
  </si>
  <si>
    <t xml:space="preserve">Anaplerotic Reactions</t>
  </si>
  <si>
    <t xml:space="preserve">MAN1PT</t>
  </si>
  <si>
    <t xml:space="preserve">Phosphomannomutase</t>
  </si>
  <si>
    <t xml:space="preserve">2 h[c] + gtp[c] + man1p[c]  -&gt; ppi[c] + gdpmann[c] </t>
  </si>
  <si>
    <t xml:space="preserve">2.7.7.13</t>
  </si>
  <si>
    <t xml:space="preserve">(EPS biosynthesis) or (GDP-mannose biosynthesis)</t>
  </si>
  <si>
    <t xml:space="preserve">(AFE_3293 or AFE_2960 or AFE_1366)</t>
  </si>
  <si>
    <t xml:space="preserve">( AFE_3293 (AFE_3293) ) or ( AFE_2960 (AFE_2960) ) or ( AFE_1366 (AFE_1366) )</t>
  </si>
  <si>
    <t xml:space="preserve">( AFE_3293 ) or ( AFE_2960 ) or ( AFE_1366 )</t>
  </si>
  <si>
    <t xml:space="preserve">MAN6PI</t>
  </si>
  <si>
    <t xml:space="preserve">mannose-6-phosphate isomerase</t>
  </si>
  <si>
    <t xml:space="preserve">f6p-B[c]  &lt;=&gt; man6p[c] </t>
  </si>
  <si>
    <t xml:space="preserve">5.3.1.8</t>
  </si>
  <si>
    <t xml:space="preserve">AFE_3293 </t>
  </si>
  <si>
    <t xml:space="preserve">AFE_3293 (AFE_3293 )</t>
  </si>
  <si>
    <t xml:space="preserve">MBDR</t>
  </si>
  <si>
    <t xml:space="preserve">1-hydroxy-2-methyl-2-(E)-butenyl 4-diphosphate reductase </t>
  </si>
  <si>
    <t xml:space="preserve">nadph[c] + 2mecdp[c]  -&gt; h2o[c] + nadp[c] + h2mb4p[c] </t>
  </si>
  <si>
    <t xml:space="preserve">1.17.4.3</t>
  </si>
  <si>
    <t xml:space="preserve">MCOATA</t>
  </si>
  <si>
    <t xml:space="preserve">Malonyl-CoA-ACP transacylase</t>
  </si>
  <si>
    <t xml:space="preserve">malcoa[c] + ACP[c]  &lt;=&gt; coa[c] + malACP[c] </t>
  </si>
  <si>
    <t xml:space="preserve">2.3.1.39</t>
  </si>
  <si>
    <t xml:space="preserve">AFE_1907</t>
  </si>
  <si>
    <t xml:space="preserve">FabD (AFE_1907)</t>
  </si>
  <si>
    <t xml:space="preserve">FabD</t>
  </si>
  <si>
    <t xml:space="preserve">MCTP1A</t>
  </si>
  <si>
    <t xml:space="preserve">murein crosslinking transpeptidase 1A:(A2pm-&gt;D-ala) </t>
  </si>
  <si>
    <t xml:space="preserve">murein5p5p[c]  -&gt; murein5px4p[c] + ala-D[c] </t>
  </si>
  <si>
    <t xml:space="preserve">3.4.16.4</t>
  </si>
  <si>
    <t xml:space="preserve">(Cell Envelope Biosynthesis) or (Murein Biosynthesis) </t>
  </si>
  <si>
    <t xml:space="preserve">(AFE_1960 or AFE_2526 or AFE_2923)</t>
  </si>
  <si>
    <t xml:space="preserve">( DacB (AFE_1960) ) or ( AFE_2526 (AFE_2526) ) or ( AFE_2923 (AFE_2923) )</t>
  </si>
  <si>
    <t xml:space="preserve">( DacB or AFE_2526 or AFE_2923 )</t>
  </si>
  <si>
    <t xml:space="preserve">MDH</t>
  </si>
  <si>
    <t xml:space="preserve">malate dehydrogenase</t>
  </si>
  <si>
    <t xml:space="preserve">nad[c] + mal-L[c]  &lt;=&gt; h[c] + nadh[c] + oaa[c] </t>
  </si>
  <si>
    <t xml:space="preserve">1.1.1.37</t>
  </si>
  <si>
    <t xml:space="preserve">AFE_3000</t>
  </si>
  <si>
    <t xml:space="preserve">AFE_3000 (AFE_3000)</t>
  </si>
  <si>
    <t xml:space="preserve">MECDPS</t>
  </si>
  <si>
    <t xml:space="preserve">2-C-methyl-D-erythritol 2,4-cyclodiphosphate synthase</t>
  </si>
  <si>
    <t xml:space="preserve">2p4c2me[c]  -&gt; cmp[c] + 2mecdp[c] </t>
  </si>
  <si>
    <t xml:space="preserve">4.6.1.12</t>
  </si>
  <si>
    <t xml:space="preserve">AFE_0371 </t>
  </si>
  <si>
    <t xml:space="preserve">IspF (AFE_0371 )</t>
  </si>
  <si>
    <t xml:space="preserve">IspF</t>
  </si>
  <si>
    <t xml:space="preserve">MEPCT</t>
  </si>
  <si>
    <t xml:space="preserve">2-C-methyl-D-erythritol 4-phosphate cytidylyltransferase</t>
  </si>
  <si>
    <t xml:space="preserve">h[c] + ctp[c] + 2me4p[c]  -&gt; ppi[c] + 4c2me[c] </t>
  </si>
  <si>
    <t xml:space="preserve">2.7.7.60</t>
  </si>
  <si>
    <t xml:space="preserve">AFE_0370</t>
  </si>
  <si>
    <t xml:space="preserve">IspD (AFE_0370)</t>
  </si>
  <si>
    <t xml:space="preserve">IspD</t>
  </si>
  <si>
    <t xml:space="preserve">METAT</t>
  </si>
  <si>
    <t xml:space="preserve">Methionine adenosyltransferase</t>
  </si>
  <si>
    <t xml:space="preserve">h2o[c] + atp[c] + met-L[c]  -&gt; pi[c] + amet[c] + ppi[c] </t>
  </si>
  <si>
    <t xml:space="preserve">2.5.1.6</t>
  </si>
  <si>
    <t xml:space="preserve">AFE_0532</t>
  </si>
  <si>
    <t xml:space="preserve">MetK (AFE_0532)</t>
  </si>
  <si>
    <t xml:space="preserve">MetK</t>
  </si>
  <si>
    <t xml:space="preserve">METS</t>
  </si>
  <si>
    <t xml:space="preserve">5-methyltetrahydrofolate--homocysteine S-methyltransferase</t>
  </si>
  <si>
    <t xml:space="preserve">5mthf[c] + hcys-L[c]  &lt;=&gt; thf[c] + met-L[c] </t>
  </si>
  <si>
    <t xml:space="preserve">2.1.1.13</t>
  </si>
  <si>
    <t xml:space="preserve">MG2tex</t>
  </si>
  <si>
    <t xml:space="preserve">mg2 transport</t>
  </si>
  <si>
    <t xml:space="preserve">mg2[e]  &lt;=&gt; mg2[p] </t>
  </si>
  <si>
    <t xml:space="preserve">MG2tpp</t>
  </si>
  <si>
    <t xml:space="preserve">magnesium-translocating P-type ATPase</t>
  </si>
  <si>
    <t xml:space="preserve">h2o[c] + atp[c] + mg2[p]  -&gt; h[c] + pi[c] + adp[c] + mg2[c] </t>
  </si>
  <si>
    <t xml:space="preserve">AFE_2327</t>
  </si>
  <si>
    <t xml:space="preserve">AFE_2327 (AFE_2327)</t>
  </si>
  <si>
    <t xml:space="preserve">MMCD</t>
  </si>
  <si>
    <t xml:space="preserve">Methylmalonyl-CoA decarboxylase</t>
  </si>
  <si>
    <t xml:space="preserve">h[c] + mmcoa[c]  -&gt; co2[c] + ppcoa[c] </t>
  </si>
  <si>
    <t xml:space="preserve">4.1.1.41</t>
  </si>
  <si>
    <t xml:space="preserve">MMM</t>
  </si>
  <si>
    <t xml:space="preserve">Methylmalonyl-CoA mutase</t>
  </si>
  <si>
    <t xml:space="preserve">mmcoa[c]  &lt;=&gt; succoa[c] </t>
  </si>
  <si>
    <t xml:space="preserve">5.4.99.2</t>
  </si>
  <si>
    <t xml:space="preserve">( Alternate Carbon Metabolism ) or ( Methylmalonyl pathway )</t>
  </si>
  <si>
    <t xml:space="preserve">MN2tex</t>
  </si>
  <si>
    <t xml:space="preserve">mn2 transport</t>
  </si>
  <si>
    <t xml:space="preserve">mn2[e]  &lt;=&gt; mn2[p] </t>
  </si>
  <si>
    <t xml:space="preserve">MN2tpp</t>
  </si>
  <si>
    <t xml:space="preserve">mn2[p]  -&gt; mn2[c] </t>
  </si>
  <si>
    <t xml:space="preserve">MNTH</t>
  </si>
  <si>
    <t xml:space="preserve">NRAMP dual Mn(II)/Fe(II) MntH-like transporter</t>
  </si>
  <si>
    <t xml:space="preserve">h[p] + fe2[p]  -&gt; h[c] + fe2[c] </t>
  </si>
  <si>
    <t xml:space="preserve">(AFE_0105 or AFE_0920)</t>
  </si>
  <si>
    <t xml:space="preserve">( AFE_0105 (AFE_0105) or AFE_0920 (AFE_0920) )</t>
  </si>
  <si>
    <t xml:space="preserve">( AFE_0105 ) or ( AFE_0920 )</t>
  </si>
  <si>
    <t xml:space="preserve">MOHMT</t>
  </si>
  <si>
    <t xml:space="preserve">3-methyl-2-oxobutanoate hydroxymethyltransferase</t>
  </si>
  <si>
    <t xml:space="preserve">h2o[c] + mlthf[c] + 3mob[c]  &lt;=&gt; thf[c] + 2dhp[c] </t>
  </si>
  <si>
    <t xml:space="preserve">2.1.2.11</t>
  </si>
  <si>
    <t xml:space="preserve">( Cofactor and Prosthetic Group Biosynthesis ) or ( Pantothenate biosynthesis )</t>
  </si>
  <si>
    <t xml:space="preserve">AFE_1771</t>
  </si>
  <si>
    <t xml:space="preserve">PanB (AFE_1771)</t>
  </si>
  <si>
    <t xml:space="preserve">PanB</t>
  </si>
  <si>
    <t xml:space="preserve">MTAP</t>
  </si>
  <si>
    <t xml:space="preserve">5-methylthioadenosine phosphorylase</t>
  </si>
  <si>
    <t xml:space="preserve">pi[c] + 5mta[c]  &lt;=&gt; ade[c] + mtribp[c] </t>
  </si>
  <si>
    <t xml:space="preserve">2.4.2.28</t>
  </si>
  <si>
    <t xml:space="preserve">AFE_0365</t>
  </si>
  <si>
    <t xml:space="preserve">MtaP (AFE_0365)</t>
  </si>
  <si>
    <t xml:space="preserve">MtaP</t>
  </si>
  <si>
    <t xml:space="preserve">MTHFC</t>
  </si>
  <si>
    <t xml:space="preserve">methenyltetrahydrofolate cyclohydrolase</t>
  </si>
  <si>
    <t xml:space="preserve">h2o[c] + methf[c]  &lt;=&gt; h[c] + 10fthf[c] </t>
  </si>
  <si>
    <t xml:space="preserve">3.5.4.9</t>
  </si>
  <si>
    <t xml:space="preserve">AFE_1877</t>
  </si>
  <si>
    <t xml:space="preserve">FolD (AFE_1877)</t>
  </si>
  <si>
    <t xml:space="preserve">FolD</t>
  </si>
  <si>
    <t xml:space="preserve">MTHFD1</t>
  </si>
  <si>
    <t xml:space="preserve">methylenetetrahydrofolate dehydrogenase (NADP)</t>
  </si>
  <si>
    <t xml:space="preserve">nadp[c] + mlthf[c]  &lt;=&gt; nadph[c] + methf[c] </t>
  </si>
  <si>
    <t xml:space="preserve">1.5.1.5</t>
  </si>
  <si>
    <t xml:space="preserve">MTHFD2</t>
  </si>
  <si>
    <t xml:space="preserve">methylenetetrahydrofolate dehydrogenase (NAD+)</t>
  </si>
  <si>
    <t xml:space="preserve">nad[c] + mlthf[c]  -&gt; nadh[c] + methf[c] </t>
  </si>
  <si>
    <t xml:space="preserve">1.5.1.15</t>
  </si>
  <si>
    <t xml:space="preserve">MTHFR3</t>
  </si>
  <si>
    <t xml:space="preserve">Cobalamin-dependent homocysteine transmethylase</t>
  </si>
  <si>
    <t xml:space="preserve">h[c] + nadph[c] + mlthf[c]  &lt;=&gt; nadp[c] + 5mthf[c] </t>
  </si>
  <si>
    <t xml:space="preserve">1.5.1.20</t>
  </si>
  <si>
    <t xml:space="preserve">AFE_0535</t>
  </si>
  <si>
    <t xml:space="preserve">MetF (AFE_0535)</t>
  </si>
  <si>
    <t xml:space="preserve">MetF</t>
  </si>
  <si>
    <t xml:space="preserve">MTHPTGHM</t>
  </si>
  <si>
    <t xml:space="preserve">5-methyltetrahydropteroyltriglutamate--homocysteine S-methyltransferase</t>
  </si>
  <si>
    <t xml:space="preserve">hcys-L[c] + 5mthglu[c]  &lt;=&gt; met-L[c] + thglu[c] </t>
  </si>
  <si>
    <t xml:space="preserve">2.1.1.14</t>
  </si>
  <si>
    <t xml:space="preserve">AFE_0288</t>
  </si>
  <si>
    <t xml:space="preserve">MetE (AFE_0288)</t>
  </si>
  <si>
    <t xml:space="preserve">MetE</t>
  </si>
  <si>
    <t xml:space="preserve">MTOD</t>
  </si>
  <si>
    <t xml:space="preserve">methylthioribulose 1-phosphate dehydratase activity</t>
  </si>
  <si>
    <t xml:space="preserve">mtrp[c]  &lt;=&gt; h2o[c] + dkmpp[c] </t>
  </si>
  <si>
    <t xml:space="preserve">4.2.1.109</t>
  </si>
  <si>
    <t xml:space="preserve">MTRG</t>
  </si>
  <si>
    <t xml:space="preserve">alpha-D-glucoside glucohydrolase</t>
  </si>
  <si>
    <t xml:space="preserve">h2o[c] + malttr[c]  -&gt; glc-A[c] + mal-B[c] </t>
  </si>
  <si>
    <t xml:space="preserve">3.2.1.20</t>
  </si>
  <si>
    <t xml:space="preserve">MTROI</t>
  </si>
  <si>
    <t xml:space="preserve">mtribp[c]  &lt;=&gt; mtrp[c] </t>
  </si>
  <si>
    <t xml:space="preserve">5.3.1.23</t>
  </si>
  <si>
    <t xml:space="preserve">AFE_0893</t>
  </si>
  <si>
    <t xml:space="preserve">EiF2B (AFE_0893)</t>
  </si>
  <si>
    <t xml:space="preserve">EiF2B</t>
  </si>
  <si>
    <t xml:space="preserve">MTRP</t>
  </si>
  <si>
    <t xml:space="preserve">maltodextrin phosphorylase</t>
  </si>
  <si>
    <t xml:space="preserve">pi[c] + maltttr[c]  &lt;=&gt; g1p[c] + malttr[c] </t>
  </si>
  <si>
    <t xml:space="preserve">AFE_0527</t>
  </si>
  <si>
    <t xml:space="preserve">AFE_0527 (AFE_0527)</t>
  </si>
  <si>
    <t xml:space="preserve">N2tex</t>
  </si>
  <si>
    <t xml:space="preserve">n2 transport</t>
  </si>
  <si>
    <t xml:space="preserve">n2[e]  &lt;=&gt; n2[p] </t>
  </si>
  <si>
    <t xml:space="preserve">N2tpp</t>
  </si>
  <si>
    <t xml:space="preserve">n2 transport (citoplasm)</t>
  </si>
  <si>
    <t xml:space="preserve">n2[p]  &lt;=&gt; n2[c] </t>
  </si>
  <si>
    <t xml:space="preserve">NA1tex</t>
  </si>
  <si>
    <t xml:space="preserve">na transport</t>
  </si>
  <si>
    <t xml:space="preserve">na1[e]  &lt;=&gt; na1[p] </t>
  </si>
  <si>
    <t xml:space="preserve">NA1tpp</t>
  </si>
  <si>
    <t xml:space="preserve">na transport in via proton symport</t>
  </si>
  <si>
    <t xml:space="preserve">h[p] + na1[p]  -&gt; h[c] + na1[c] </t>
  </si>
  <si>
    <t xml:space="preserve">NADHI</t>
  </si>
  <si>
    <t xml:space="preserve">NADH dehydrogenase (ubiquinone-8 &amp; 5 protons) (periplasm)</t>
  </si>
  <si>
    <t xml:space="preserve">5 h[p] + nad[c] + q8h2[c]  -&gt; 6 h[c] + nadh[c] + q8[c] </t>
  </si>
  <si>
    <t xml:space="preserve">1.6.5.3</t>
  </si>
  <si>
    <t xml:space="preserve">(AFE_2630 and AFE_2629 and AFE_2628 and AFE_2627 and AFE_2626 and AFE_2625 and AFE_2624 and AFE_2623 and AFE_2622 and AFE_2621 and AFE_2620 and AFE_2619 and AFE_2618 and AFE_2617)</t>
  </si>
  <si>
    <t xml:space="preserve">( NuoA (AFE_2630) and NuoB (AFE_2629) and NuoC (AFE_2628) and NuoD (AFE_2627) and NuoE (AFE_2626) and NuoF (AFE_2625) and NuoG (AFE_2624) and NuoH (AFE_2623) and NuoI (AFE_2622) and NuoJ (AFE_2621) and NuoK (AFE_2620) and NuoL (AFE_2619) and NuoM (AFE_2618) and NuoN (AFE_2617) )</t>
  </si>
  <si>
    <t xml:space="preserve">( NuoA and NuoB and NuoC and NuoD and NuoE and NuoF and NuoG and NuoH and NuoI and NuoJ and NuoK and NuoL and NuoM and NuoN )</t>
  </si>
  <si>
    <t xml:space="preserve">NADK</t>
  </si>
  <si>
    <t xml:space="preserve">NAD kinase</t>
  </si>
  <si>
    <t xml:space="preserve">atp[c] + nad[c]  -&gt; h[c] + adp[c] + nadp[c] </t>
  </si>
  <si>
    <t xml:space="preserve">2.7.1.23</t>
  </si>
  <si>
    <t xml:space="preserve">( Cofactor and Prosthetic Group Biosynthesis ) or ( NAD phosphorylation and dephosphorylation )</t>
  </si>
  <si>
    <t xml:space="preserve">AFE_0451</t>
  </si>
  <si>
    <t xml:space="preserve">ppnK (AFE_0451)</t>
  </si>
  <si>
    <t xml:space="preserve">PpnK</t>
  </si>
  <si>
    <t xml:space="preserve">NADPPPS</t>
  </si>
  <si>
    <t xml:space="preserve">NADP phosphatase</t>
  </si>
  <si>
    <t xml:space="preserve">h2o[c] + nadp[c]  -&gt; pi[c] + nad[c] </t>
  </si>
  <si>
    <t xml:space="preserve">3.1.3.-</t>
  </si>
  <si>
    <t xml:space="preserve">( Cofactor and Prosthetic Group Biosynthesis ) or ( NAD salvage pathway )</t>
  </si>
  <si>
    <t xml:space="preserve">AFE_0468</t>
  </si>
  <si>
    <t xml:space="preserve">SurE (AFE_0468)</t>
  </si>
  <si>
    <t xml:space="preserve">SurE</t>
  </si>
  <si>
    <t xml:space="preserve">NADS1</t>
  </si>
  <si>
    <t xml:space="preserve">NAD synthase (nh3)</t>
  </si>
  <si>
    <t xml:space="preserve">atp[c] + nh4[c] + dnad[c]  -&gt; h[c] + nad[c] + ppi[c] + amp[c] </t>
  </si>
  <si>
    <t xml:space="preserve">6.3.1.5</t>
  </si>
  <si>
    <t xml:space="preserve">AFE_0428</t>
  </si>
  <si>
    <t xml:space="preserve">NadE (AFE_0428)</t>
  </si>
  <si>
    <t xml:space="preserve">NadE</t>
  </si>
  <si>
    <t xml:space="preserve">NADS2</t>
  </si>
  <si>
    <t xml:space="preserve">NAD(+) synthetase (glutamine-hydrolysing) </t>
  </si>
  <si>
    <t xml:space="preserve">h2o[c] + atp[c] + gln-L[c] + dnad[c]  -&gt; h[c] + glu-L[c] + nad[c] + ppi[c] + amp[c] </t>
  </si>
  <si>
    <t xml:space="preserve">6.3.5.1</t>
  </si>
  <si>
    <t xml:space="preserve">NADTRHD</t>
  </si>
  <si>
    <t xml:space="preserve">NAD transhydrogenase</t>
  </si>
  <si>
    <t xml:space="preserve">h[p] + nadh[c] + nadp[c]  -&gt; h[c] + nad[c] + nadph[c] </t>
  </si>
  <si>
    <t xml:space="preserve">NDPK1</t>
  </si>
  <si>
    <t xml:space="preserve">nucleoside-diphosphate kinase (ATP:GDP)</t>
  </si>
  <si>
    <t xml:space="preserve">atp[c] + gdp[c]  &lt;=&gt; adp[c] + gtp[c] </t>
  </si>
  <si>
    <t xml:space="preserve">2.7.4.6</t>
  </si>
  <si>
    <t xml:space="preserve">AFE_1929</t>
  </si>
  <si>
    <t xml:space="preserve">Ndk (AFE_1929)</t>
  </si>
  <si>
    <t xml:space="preserve">Ndk</t>
  </si>
  <si>
    <t xml:space="preserve">NDPK2</t>
  </si>
  <si>
    <t xml:space="preserve">nucleoside-diphosphate kinase (ATP:UDP)</t>
  </si>
  <si>
    <t xml:space="preserve">atp[c] + udp[c]  &lt;=&gt; adp[c] + utp[c] </t>
  </si>
  <si>
    <t xml:space="preserve">NDPK3</t>
  </si>
  <si>
    <t xml:space="preserve">nucleoside-diphosphate kinase (ATP:CDP)</t>
  </si>
  <si>
    <t xml:space="preserve">atp[c] + cdp[c]  &lt;=&gt; adp[c] + ctp[c] </t>
  </si>
  <si>
    <t xml:space="preserve">NDPK4</t>
  </si>
  <si>
    <t xml:space="preserve">nucleoside-diphosphate kinase (ATP:dTDP)</t>
  </si>
  <si>
    <t xml:space="preserve">h[c] + atp[c] + dtdp[c]  &lt;=&gt; adp[c] + dttp[c] </t>
  </si>
  <si>
    <t xml:space="preserve">NDPK5</t>
  </si>
  <si>
    <t xml:space="preserve">nucleoside-diphosphate kinase (ATP:dGDP)</t>
  </si>
  <si>
    <t xml:space="preserve">atp[c] + dgdp[c]  &lt;=&gt; adp[c] + dgtp[c] </t>
  </si>
  <si>
    <t xml:space="preserve">NDPK6</t>
  </si>
  <si>
    <t xml:space="preserve">nucleoside-diphosphate kinase (ATP:dUDP)</t>
  </si>
  <si>
    <t xml:space="preserve">atp[c] + dudp[c]  &lt;=&gt; h[c] + adp[c] + dutp[c] </t>
  </si>
  <si>
    <t xml:space="preserve">NDPK7</t>
  </si>
  <si>
    <t xml:space="preserve">nucleoside-diphosphate kinase (ATP:dCDP)</t>
  </si>
  <si>
    <t xml:space="preserve">atp[c] + dcdp[c]  &lt;=&gt; adp[c] + dctp[c] </t>
  </si>
  <si>
    <t xml:space="preserve">NDPK8</t>
  </si>
  <si>
    <t xml:space="preserve">nucleoside-diphosphate kinase (ATP:dADP)</t>
  </si>
  <si>
    <t xml:space="preserve">atp[c] + dadp[c]  &lt;=&gt; adp[c] + datp[c] </t>
  </si>
  <si>
    <t xml:space="preserve">NH4pp</t>
  </si>
  <si>
    <t xml:space="preserve">Amt1 ammonium Amt transporter</t>
  </si>
  <si>
    <t xml:space="preserve">nh4[c]  &lt;=&gt; nh4[p] </t>
  </si>
  <si>
    <t xml:space="preserve">(AFE_2916 or AFE_2911 or AFE_2922)</t>
  </si>
  <si>
    <t xml:space="preserve">( Amt1 (AFE_2916) ) or ( Amt2 (AFE_2911) ) or ( AmtB(AFE_2922) )</t>
  </si>
  <si>
    <t xml:space="preserve">( Amt1 ) or ( Amt2 ) or ( AmtB )</t>
  </si>
  <si>
    <t xml:space="preserve">NH4tex</t>
  </si>
  <si>
    <t xml:space="preserve">nh4 transport</t>
  </si>
  <si>
    <t xml:space="preserve">nh4[p]  &lt;=&gt; nh4[e] </t>
  </si>
  <si>
    <t xml:space="preserve">NITF</t>
  </si>
  <si>
    <t xml:space="preserve">sulfide quinone reductase</t>
  </si>
  <si>
    <t xml:space="preserve">16 h2o[c] + 16 atp[c] + 4 nadh[c] + n2[c]  -&gt; 10 h[c] + 16 pi[c] + 16 adp[c] + 4 nad[c] + 2 nh4[c] + h2[c] </t>
  </si>
  <si>
    <t xml:space="preserve">1.18.6.1</t>
  </si>
  <si>
    <t xml:space="preserve">19077236 &amp;&amp; 14675496</t>
  </si>
  <si>
    <t xml:space="preserve">Nitrogen fixation</t>
  </si>
  <si>
    <t xml:space="preserve">(AFE_1515 and AFE_1516 and AFE_1517 and AFE_1518 and AFE_1519 and AFE_1520 and AFE_1521 and AFE_1522)</t>
  </si>
  <si>
    <t xml:space="preserve">( NifX (AFE_1515) and NifN (AFE_1516) and NifE (AFE_1517) and AFE_1518 (AFE_1518) and AFE_1519 (AFE_1519) and NifK (AFE_1520) and NifD (AFE_1521) and NifH (AFE_1522) )</t>
  </si>
  <si>
    <t xml:space="preserve">( NifX and NifN and NifE and AFE_1518 and AFE_1519 and NifK and NifD and NifH )</t>
  </si>
  <si>
    <t xml:space="preserve">NNAT</t>
  </si>
  <si>
    <t xml:space="preserve">nicotinate-nucleotide adenylyltransferase</t>
  </si>
  <si>
    <t xml:space="preserve">h[c] + atp[c] + nicrnt[c]  &lt;=&gt; ppi[c] + dnad[c] </t>
  </si>
  <si>
    <t xml:space="preserve">2.7.7.18</t>
  </si>
  <si>
    <t xml:space="preserve">AFE_2948</t>
  </si>
  <si>
    <t xml:space="preserve">NadD (AFE_2948)</t>
  </si>
  <si>
    <t xml:space="preserve">NadD</t>
  </si>
  <si>
    <t xml:space="preserve">NNDPR</t>
  </si>
  <si>
    <t xml:space="preserve">nicotinate-nucleotide diphosphorylase (carboxylating)</t>
  </si>
  <si>
    <t xml:space="preserve">2 h[c] + prpp[c] + quln[c]  &lt;=&gt; co2[c] + ppi[c] + nicrnt[c] </t>
  </si>
  <si>
    <t xml:space="preserve">2.4.2.19</t>
  </si>
  <si>
    <t xml:space="preserve">AFE_2206</t>
  </si>
  <si>
    <t xml:space="preserve">NadC (AFE_2206)</t>
  </si>
  <si>
    <t xml:space="preserve">NadC</t>
  </si>
  <si>
    <t xml:space="preserve">NTPTP1</t>
  </si>
  <si>
    <t xml:space="preserve">Nucleoside triphosphate tripolyhydrolase</t>
  </si>
  <si>
    <t xml:space="preserve">h2o[c] + dgtp[c]  -&gt; pppi[c] + dgsn[c] </t>
  </si>
  <si>
    <t xml:space="preserve">3.1.5.1</t>
  </si>
  <si>
    <t xml:space="preserve">AFE_0731 </t>
  </si>
  <si>
    <t xml:space="preserve">AFE_0731 (AFE_0731 )</t>
  </si>
  <si>
    <t xml:space="preserve">O2tex</t>
  </si>
  <si>
    <t xml:space="preserve">o2 transport</t>
  </si>
  <si>
    <t xml:space="preserve">o2[e]  &lt;=&gt; o2[p] </t>
  </si>
  <si>
    <t xml:space="preserve">O2tpp</t>
  </si>
  <si>
    <t xml:space="preserve">o2 transport (citoplasm)</t>
  </si>
  <si>
    <t xml:space="preserve">o2[p]  &lt;=&gt; o2[c] </t>
  </si>
  <si>
    <t xml:space="preserve">OCBT</t>
  </si>
  <si>
    <t xml:space="preserve">ornithine carbamoyltransferase</t>
  </si>
  <si>
    <t xml:space="preserve">orn[c] + cbp[c]  &lt;=&gt; h[c] + pi[c] + citr-L[c] </t>
  </si>
  <si>
    <t xml:space="preserve">2.1.3.3</t>
  </si>
  <si>
    <t xml:space="preserve">AFE_0405</t>
  </si>
  <si>
    <t xml:space="preserve">ArgF (AFE_0405)</t>
  </si>
  <si>
    <t xml:space="preserve">ArgF</t>
  </si>
  <si>
    <t xml:space="preserve">OCTDPS</t>
  </si>
  <si>
    <t xml:space="preserve">Octaprenyl pyrophosphate synthase</t>
  </si>
  <si>
    <t xml:space="preserve">5 ipdp[c] + frdp[c]  -&gt; 5 ppi[c] + octdp[c] </t>
  </si>
  <si>
    <t xml:space="preserve">2.5.1.-</t>
  </si>
  <si>
    <t xml:space="preserve">AFE_2899</t>
  </si>
  <si>
    <t xml:space="preserve">IspB (AFE_2899)</t>
  </si>
  <si>
    <t xml:space="preserve">IspB</t>
  </si>
  <si>
    <t xml:space="preserve">OHPBAT</t>
  </si>
  <si>
    <t xml:space="preserve">O-Phospho-4-hydroxy-L-threonine:2-oxoglutarate aminotransferase</t>
  </si>
  <si>
    <t xml:space="preserve">glu-L[c] + ohpb[c]  &lt;=&gt; akg[c] + phthr[c] </t>
  </si>
  <si>
    <t xml:space="preserve">2.6.1.52</t>
  </si>
  <si>
    <t xml:space="preserve">AFE_0895</t>
  </si>
  <si>
    <t xml:space="preserve">SerC (AFE_0895)</t>
  </si>
  <si>
    <t xml:space="preserve">SerC</t>
  </si>
  <si>
    <t xml:space="preserve">OHPHM</t>
  </si>
  <si>
    <t xml:space="preserve">2-octaprenyl-6-hydroxyphenol methylase</t>
  </si>
  <si>
    <t xml:space="preserve">amet[c] + 2ohph[c]  &lt;=&gt; h[c] + ahcys[c] + 2omph[c] </t>
  </si>
  <si>
    <t xml:space="preserve">OMBQM</t>
  </si>
  <si>
    <t xml:space="preserve">2-octaprenyl-6-methoxy-1,4-benzoquinone methylase</t>
  </si>
  <si>
    <t xml:space="preserve">h[c] + amet[c] + 2ombz[c]  &lt;=&gt; ahcys[c] + 2ommb[c] </t>
  </si>
  <si>
    <t xml:space="preserve">2.1.1.-</t>
  </si>
  <si>
    <t xml:space="preserve">AFE_0623</t>
  </si>
  <si>
    <t xml:space="preserve">AFE_0623 (AFE_0623)</t>
  </si>
  <si>
    <t xml:space="preserve">OMCDC</t>
  </si>
  <si>
    <t xml:space="preserve">2-Oxo-4-methyl-3-carboxypentanoate decarboxylation (spontaneous)</t>
  </si>
  <si>
    <t xml:space="preserve">h[c] + 3c4mop[c]  &lt;=&gt; co2[c] + 4mop[c] </t>
  </si>
  <si>
    <t xml:space="preserve">OMMBH</t>
  </si>
  <si>
    <t xml:space="preserve">2-octaprenyl-3-methyl-6-methoxy-1,4-benzoquinone hydroxylase</t>
  </si>
  <si>
    <t xml:space="preserve">h[c] + nadph[c] + o2[c] + 2ommb[c]  -&gt; h2o[c] + nadp[c] + 3dmq[c] </t>
  </si>
  <si>
    <t xml:space="preserve">1.14.13.-</t>
  </si>
  <si>
    <t xml:space="preserve">OMPDC</t>
  </si>
  <si>
    <t xml:space="preserve">orotidine-5-phosphate decarboxylase</t>
  </si>
  <si>
    <t xml:space="preserve">h[c] + orot5p[c]  -&gt; co2[c] + ump[c] </t>
  </si>
  <si>
    <t xml:space="preserve">4.1.1.23</t>
  </si>
  <si>
    <t xml:space="preserve">AFE_0907</t>
  </si>
  <si>
    <t xml:space="preserve">PyrF (AFE_0907)</t>
  </si>
  <si>
    <t xml:space="preserve">PyrF</t>
  </si>
  <si>
    <t xml:space="preserve">OMPHHX</t>
  </si>
  <si>
    <t xml:space="preserve">2-octaprenyl-6-methoxyphenol hydroxylase</t>
  </si>
  <si>
    <t xml:space="preserve">o2[c] + 2omph[c]  &lt;=&gt; h2o[c] + 2ombz[c] </t>
  </si>
  <si>
    <t xml:space="preserve">1.14.14.-</t>
  </si>
  <si>
    <t xml:space="preserve">(AFE_2389 or AFE_2388)</t>
  </si>
  <si>
    <t xml:space="preserve">( UbiH1 (AFE_2389) or UbiH2 (AFE_2388) )</t>
  </si>
  <si>
    <t xml:space="preserve">( UbiH1 ) or ( UbiH2 )</t>
  </si>
  <si>
    <t xml:space="preserve">OPHBDC</t>
  </si>
  <si>
    <t xml:space="preserve">Octaprenyl-hydroxybenzoate decarboxylase</t>
  </si>
  <si>
    <t xml:space="preserve">h[c] + 3ophb[c]  &lt;=&gt; co2[c] + 2oph[c] </t>
  </si>
  <si>
    <t xml:space="preserve">4.1.1.-</t>
  </si>
  <si>
    <t xml:space="preserve">(AFE_0647 or AFE_2383)</t>
  </si>
  <si>
    <t xml:space="preserve">( AFE_0647 (AFE_0647) ) or ( UbiD (AFE_2383 ) )</t>
  </si>
  <si>
    <t xml:space="preserve">( AFE_0647 ) or ( UbiD )</t>
  </si>
  <si>
    <t xml:space="preserve">OPHHX</t>
  </si>
  <si>
    <t xml:space="preserve">2-Octaprenylphenol hydroxylase</t>
  </si>
  <si>
    <t xml:space="preserve">o2[c] + 2 2oph[c]  -&gt; 2 2ohph[c] </t>
  </si>
  <si>
    <t xml:space="preserve">AFE_0305</t>
  </si>
  <si>
    <t xml:space="preserve">UbiB (AFE_0305)</t>
  </si>
  <si>
    <t xml:space="preserve">UbiB</t>
  </si>
  <si>
    <t xml:space="preserve">ORNDC</t>
  </si>
  <si>
    <t xml:space="preserve">Ornithine Decarboxylase</t>
  </si>
  <si>
    <t xml:space="preserve">h[c] + orn[c]  -&gt; co2[c] + ptrc[c] </t>
  </si>
  <si>
    <t xml:space="preserve">4.1.1.17</t>
  </si>
  <si>
    <t xml:space="preserve">ORPT</t>
  </si>
  <si>
    <t xml:space="preserve">orotate phosphoribosyltransferase</t>
  </si>
  <si>
    <t xml:space="preserve">prpp[c] + orot[c]  -&gt; ppi[c] + orot5p[c] </t>
  </si>
  <si>
    <t xml:space="preserve">2.4.2.10</t>
  </si>
  <si>
    <t xml:space="preserve">AFE_0908</t>
  </si>
  <si>
    <t xml:space="preserve">PyrE (AFE_0908)</t>
  </si>
  <si>
    <t xml:space="preserve">PyrE</t>
  </si>
  <si>
    <t xml:space="preserve">P5CR</t>
  </si>
  <si>
    <t xml:space="preserve">pyrroline-5-carboxylate reductase</t>
  </si>
  <si>
    <t xml:space="preserve">nadp[c] + pro-L[c]  &lt;=&gt; 2 h[c] + nadph[c] + 1pyr5c[c] </t>
  </si>
  <si>
    <t xml:space="preserve">1.5.1.2</t>
  </si>
  <si>
    <t xml:space="preserve">AFE_0262</t>
  </si>
  <si>
    <t xml:space="preserve">ProC (AFE_0262)</t>
  </si>
  <si>
    <t xml:space="preserve">ProC</t>
  </si>
  <si>
    <t xml:space="preserve">PANTS</t>
  </si>
  <si>
    <t xml:space="preserve">pantothenate synthase</t>
  </si>
  <si>
    <t xml:space="preserve">atp[c] + pant-R[c] + ala-B[c]  &lt;=&gt; h[c] + ppi[c] + amp[c] + pnto-R[c] </t>
  </si>
  <si>
    <t xml:space="preserve">6.3.2.1</t>
  </si>
  <si>
    <t xml:space="preserve">AFE_1770</t>
  </si>
  <si>
    <t xml:space="preserve">PanC (AFE_1770)</t>
  </si>
  <si>
    <t xml:space="preserve">PanC</t>
  </si>
  <si>
    <t xml:space="preserve">PAPPT3</t>
  </si>
  <si>
    <t xml:space="preserve">phospho-N-acetylmuramoyl-pentapeptide-transferase (meso-2,6-diaminopimelate)</t>
  </si>
  <si>
    <t xml:space="preserve">udcpp[c] + ugmda[c]  -&gt; ump[c] + uagmda[c] </t>
  </si>
  <si>
    <t xml:space="preserve">2.7.8.13</t>
  </si>
  <si>
    <t xml:space="preserve">AFE_0209</t>
  </si>
  <si>
    <t xml:space="preserve">MraY (AFE_0209)</t>
  </si>
  <si>
    <t xml:space="preserve">MraY</t>
  </si>
  <si>
    <t xml:space="preserve">PAPSR</t>
  </si>
  <si>
    <t xml:space="preserve">3-phospho-adenylylsulfate reductase</t>
  </si>
  <si>
    <t xml:space="preserve">2 h[c] + paps[c] + trdox[c]  -&gt; pap[c] + so3[c] + trdrd[c] </t>
  </si>
  <si>
    <t xml:space="preserve">1.8.4.8</t>
  </si>
  <si>
    <t xml:space="preserve">AFE_3123</t>
  </si>
  <si>
    <t xml:space="preserve">CysH (AFE_3123)</t>
  </si>
  <si>
    <t xml:space="preserve">CysH</t>
  </si>
  <si>
    <t xml:space="preserve">PCYT</t>
  </si>
  <si>
    <t xml:space="preserve">phosphatidate cytidylyltransferase</t>
  </si>
  <si>
    <t xml:space="preserve">ctp[c] + dag3pi_AFE[c]  -&gt; ppi[c] + cdpdag_AFE[c] </t>
  </si>
  <si>
    <t xml:space="preserve">2.7.7.41</t>
  </si>
  <si>
    <t xml:space="preserve">AFE_1449</t>
  </si>
  <si>
    <t xml:space="preserve">AFE_1449 (AFE_1449)</t>
  </si>
  <si>
    <t xml:space="preserve">PDH</t>
  </si>
  <si>
    <t xml:space="preserve">pyruvate dehydrogenase</t>
  </si>
  <si>
    <t xml:space="preserve">pyr[c] + nad[c] + coa[c]  -&gt; co2[c] + nadh[c] + accoa[c] </t>
  </si>
  <si>
    <t xml:space="preserve">1.2.4.1</t>
  </si>
  <si>
    <t xml:space="preserve">(AFE_3070 and AFE_3069 and AFE_3068)</t>
  </si>
  <si>
    <t xml:space="preserve">( PdhA (AFE_3070) and PdhB (AFE_3069) and PdhC (AFE_3068) )</t>
  </si>
  <si>
    <t xml:space="preserve">( PdhA and PdhB and PdhC )</t>
  </si>
  <si>
    <t xml:space="preserve">PDX5PO</t>
  </si>
  <si>
    <t xml:space="preserve">pyridoxine 5-phosphate oxidase</t>
  </si>
  <si>
    <t xml:space="preserve">o2[c] + pdx5p[c]  &lt;=&gt; pydx5p[c] + h2o2[c] </t>
  </si>
  <si>
    <t xml:space="preserve">1.4.3.5</t>
  </si>
  <si>
    <t xml:space="preserve">( Cofactor and Prosthetic Group Biosynthesis ) or ( Pyridoxal 5-phosphate biosynthesis )</t>
  </si>
  <si>
    <t xml:space="preserve">AFE_0628</t>
  </si>
  <si>
    <t xml:space="preserve">PdxH (AFE_0628)</t>
  </si>
  <si>
    <t xml:space="preserve">PdxH</t>
  </si>
  <si>
    <t xml:space="preserve">PDX5PS</t>
  </si>
  <si>
    <t xml:space="preserve">pyridoxine 5?-phosphate synthase</t>
  </si>
  <si>
    <t xml:space="preserve">amoxoylph[c] + dxyl5p[c]  &lt;=&gt; h[c] + pi[c] + 2 h2o[c] + pdx5p[c] </t>
  </si>
  <si>
    <t xml:space="preserve">2.6.99.2</t>
  </si>
  <si>
    <t xml:space="preserve">AFE_1403</t>
  </si>
  <si>
    <t xml:space="preserve">PdxJ (AFE_1403)</t>
  </si>
  <si>
    <t xml:space="preserve">PdxJ</t>
  </si>
  <si>
    <t xml:space="preserve">PERD</t>
  </si>
  <si>
    <t xml:space="preserve">Erythronate 4-phosphate (4per) dehydrogenase</t>
  </si>
  <si>
    <t xml:space="preserve">nad[c] + 4per[c]  &lt;=&gt; h[c] + nadh[c] + ohpb[c] </t>
  </si>
  <si>
    <t xml:space="preserve">1.1.1.290</t>
  </si>
  <si>
    <t xml:space="preserve">AFE_0896</t>
  </si>
  <si>
    <t xml:space="preserve">SerA (AFE_0896)</t>
  </si>
  <si>
    <t xml:space="preserve">SerA</t>
  </si>
  <si>
    <t xml:space="preserve">PFK</t>
  </si>
  <si>
    <t xml:space="preserve">phosphofructokinase</t>
  </si>
  <si>
    <t xml:space="preserve">atp[c] + f6p-B[c]  -&gt; h[c] + adp[c] + fdp[c] </t>
  </si>
  <si>
    <t xml:space="preserve">2.7.1.11</t>
  </si>
  <si>
    <t xml:space="preserve">AFE_1807</t>
  </si>
  <si>
    <t xml:space="preserve">AFE_1807 (AFE_1807)</t>
  </si>
  <si>
    <t xml:space="preserve">PGAMT</t>
  </si>
  <si>
    <t xml:space="preserve">phosphoglucosamine mutase</t>
  </si>
  <si>
    <t xml:space="preserve">gam1p[c]  &lt;=&gt; gam6p[c] </t>
  </si>
  <si>
    <t xml:space="preserve">5.4.2.10</t>
  </si>
  <si>
    <t xml:space="preserve">AFE_2634</t>
  </si>
  <si>
    <t xml:space="preserve">GlmM (AFE_2634)</t>
  </si>
  <si>
    <t xml:space="preserve">GlmM</t>
  </si>
  <si>
    <t xml:space="preserve">PGCD</t>
  </si>
  <si>
    <t xml:space="preserve">phosphoglycerate dehydrogenase</t>
  </si>
  <si>
    <t xml:space="preserve">nad[c] + 3pg[c]  &lt;=&gt; h[c] + nadh[c] + 3php[c] </t>
  </si>
  <si>
    <t xml:space="preserve">1.1.1.95</t>
  </si>
  <si>
    <t xml:space="preserve">PGDH</t>
  </si>
  <si>
    <t xml:space="preserve">phosphogluconate dehydratase </t>
  </si>
  <si>
    <t xml:space="preserve">6pgc[c]  -&gt; h2o[c] + 2ddg6p[c] </t>
  </si>
  <si>
    <t xml:space="preserve">AFE_2432</t>
  </si>
  <si>
    <t xml:space="preserve">AFE_2432 (AFE_2432)</t>
  </si>
  <si>
    <t xml:space="preserve">PGI1</t>
  </si>
  <si>
    <t xml:space="preserve">glucose-6-phosphate isomerase</t>
  </si>
  <si>
    <t xml:space="preserve">g6p-B[c]  &lt;=&gt; f6p-B[c] </t>
  </si>
  <si>
    <t xml:space="preserve">5.3.1.9</t>
  </si>
  <si>
    <t xml:space="preserve">AFE_2924</t>
  </si>
  <si>
    <t xml:space="preserve">Pgi (AFE_2924)</t>
  </si>
  <si>
    <t xml:space="preserve">Pgi</t>
  </si>
  <si>
    <t xml:space="preserve">PGK</t>
  </si>
  <si>
    <t xml:space="preserve">phosphoglycerate kinase</t>
  </si>
  <si>
    <t xml:space="preserve">atp[c] + 3pg[c]  -&gt; adp[c] + 13dpg[c] </t>
  </si>
  <si>
    <t xml:space="preserve">2.7.2.3</t>
  </si>
  <si>
    <t xml:space="preserve">AFE_3250</t>
  </si>
  <si>
    <t xml:space="preserve">Pgk (AFE_3250)</t>
  </si>
  <si>
    <t xml:space="preserve">Pgk</t>
  </si>
  <si>
    <t xml:space="preserve">PGL</t>
  </si>
  <si>
    <t xml:space="preserve">6-phosphogluconolactonase</t>
  </si>
  <si>
    <t xml:space="preserve">h2o[c] + 6pgl[c]  &lt;=&gt; h[c] + 6pgc[c] </t>
  </si>
  <si>
    <t xml:space="preserve">3.1.1.31</t>
  </si>
  <si>
    <t xml:space="preserve">AFE_2833</t>
  </si>
  <si>
    <t xml:space="preserve">Pgl (AFE_2833)</t>
  </si>
  <si>
    <t xml:space="preserve">Pgl</t>
  </si>
  <si>
    <t xml:space="preserve">PGLT</t>
  </si>
  <si>
    <t xml:space="preserve">peptidoglycan glycosyltransferase</t>
  </si>
  <si>
    <t xml:space="preserve">2 ugmdal[c]  &lt;=&gt; 2 h[c] + 2 udcpdp[c] + murein5p5p[c] </t>
  </si>
  <si>
    <t xml:space="preserve">2.4.1.129</t>
  </si>
  <si>
    <t xml:space="preserve">AFE_0206</t>
  </si>
  <si>
    <t xml:space="preserve">MurG (AFE_0206)</t>
  </si>
  <si>
    <t xml:space="preserve">MurG</t>
  </si>
  <si>
    <t xml:space="preserve">PGLYCP</t>
  </si>
  <si>
    <t xml:space="preserve">Phosphoglycolate phosphatase</t>
  </si>
  <si>
    <t xml:space="preserve">h2o[c] + 2pglyc[c]  -&gt; pi[c] + glyclt[c] </t>
  </si>
  <si>
    <t xml:space="preserve">3.1.3.18</t>
  </si>
  <si>
    <t xml:space="preserve">(AFE_1823 and AFE_3246)</t>
  </si>
  <si>
    <t xml:space="preserve">( GpH1 (AFE_1823) and GpH2 (AFE_3246) )</t>
  </si>
  <si>
    <t xml:space="preserve">( GpH1 and GpH2 )</t>
  </si>
  <si>
    <t xml:space="preserve">PGM1</t>
  </si>
  <si>
    <t xml:space="preserve">phosphoglycerate mutase</t>
  </si>
  <si>
    <t xml:space="preserve">3pg[c]  &lt;=&gt; 2pg[c] </t>
  </si>
  <si>
    <t xml:space="preserve">5.4.2.1</t>
  </si>
  <si>
    <t xml:space="preserve">(AFE_1815 or AFE_0155 or AFE_0526 or AFE_0621)</t>
  </si>
  <si>
    <t xml:space="preserve">( GpmI1 (AFE_1815) ) or ( AFE_0155 (AFE_0155) ) or ( GpmI2 (AFE_0526) ) or ( AFE_0621 (AFE_0621) )</t>
  </si>
  <si>
    <t xml:space="preserve">( GpmI1 ) or ( AFE_0155 ) or ( GpmI2 ) or ( AFE_0621 )</t>
  </si>
  <si>
    <t xml:space="preserve">PGMT</t>
  </si>
  <si>
    <t xml:space="preserve">phosphoglucomutase</t>
  </si>
  <si>
    <t xml:space="preserve">g1p-B[c]  &lt;=&gt; g6p-B[c] </t>
  </si>
  <si>
    <t xml:space="preserve">5.4.2.6</t>
  </si>
  <si>
    <t xml:space="preserve">AFE_2324</t>
  </si>
  <si>
    <t xml:space="preserve">AFE_2324 (AFE_2324)</t>
  </si>
  <si>
    <t xml:space="preserve">PGMT2</t>
  </si>
  <si>
    <t xml:space="preserve">g1p[c]  &lt;=&gt; g6p-A[c] </t>
  </si>
  <si>
    <t xml:space="preserve">5.4.2.2</t>
  </si>
  <si>
    <t xml:space="preserve">PGPP120</t>
  </si>
  <si>
    <t xml:space="preserve">Phosphatidylglycerophosphatase </t>
  </si>
  <si>
    <t xml:space="preserve">h2o[c] + pgp_AFE[c]  -&gt; pi[c] + pg120[c] </t>
  </si>
  <si>
    <t xml:space="preserve">3.1.3.27</t>
  </si>
  <si>
    <t xml:space="preserve">AFE_0929</t>
  </si>
  <si>
    <t xml:space="preserve">PgpA (AFE_0929)</t>
  </si>
  <si>
    <t xml:space="preserve">PgpA</t>
  </si>
  <si>
    <t xml:space="preserve">PGSA</t>
  </si>
  <si>
    <t xml:space="preserve">CDP-diacylglycerol--glycerol-3-phosphate 3-phosphatidyltransferase </t>
  </si>
  <si>
    <t xml:space="preserve">cdpdag_AFE[c] + glyc3p[c]  -&gt; h[c] + cmp[c] + pgp_AFE[c] </t>
  </si>
  <si>
    <t xml:space="preserve">2.7.8.5</t>
  </si>
  <si>
    <t xml:space="preserve">(AFE_1900 and AFE_0854)</t>
  </si>
  <si>
    <t xml:space="preserve">( AFE_1900 (AFE_1900) and  AFE_0854 (AFE_0854) )</t>
  </si>
  <si>
    <t xml:space="preserve">( AFE_1900 and AFE_0854 )</t>
  </si>
  <si>
    <t xml:space="preserve">PHETA1</t>
  </si>
  <si>
    <t xml:space="preserve">phenylalanine transaminase</t>
  </si>
  <si>
    <t xml:space="preserve">akg[c] + phe-L[c]  &lt;=&gt; glu-L[c] + phpyr[c] </t>
  </si>
  <si>
    <t xml:space="preserve">PHFT</t>
  </si>
  <si>
    <t xml:space="preserve">protoheme IX farnesyltransferase</t>
  </si>
  <si>
    <t xml:space="preserve">h2o[c] + pheme[c] + frdp[c]  -&gt; ppi[c] + hemeO[c] </t>
  </si>
  <si>
    <t xml:space="preserve">(AFE_0635 or AFE_3143)</t>
  </si>
  <si>
    <t xml:space="preserve">( CyoE1 (AFE_0635) ) or ( CyoE2 (AFE_3143) )</t>
  </si>
  <si>
    <t xml:space="preserve">( CyoE1 ) or ( CyoE2 )</t>
  </si>
  <si>
    <t xml:space="preserve">PHSTG1</t>
  </si>
  <si>
    <t xml:space="preserve">polyphosphate storage</t>
  </si>
  <si>
    <t xml:space="preserve">polypi[c]  &lt;=&gt; polypi[p] </t>
  </si>
  <si>
    <t xml:space="preserve">Polyphosphate Storage</t>
  </si>
  <si>
    <t xml:space="preserve">PHSTG2</t>
  </si>
  <si>
    <t xml:space="preserve">polypi[p]  &lt;=&gt; polypi[e] </t>
  </si>
  <si>
    <t xml:space="preserve">PL-AFE</t>
  </si>
  <si>
    <t xml:space="preserve">phospholipids formation</t>
  </si>
  <si>
    <t xml:space="preserve">0.37 pg120[c] + 0.15 pe_AFE[c] + 0.43 ptdmeeta_AFE[c] + 0.05 clpn120[c]  -&gt; ppl_AFE[c] </t>
  </si>
  <si>
    <t xml:space="preserve">PMANM</t>
  </si>
  <si>
    <t xml:space="preserve">phosphomannomutase</t>
  </si>
  <si>
    <t xml:space="preserve">man6p[c]  &lt;=&gt; man1p[c] </t>
  </si>
  <si>
    <t xml:space="preserve">5.4.2.8</t>
  </si>
  <si>
    <t xml:space="preserve">AFE_0943</t>
  </si>
  <si>
    <t xml:space="preserve">AFE_0943 (AFE_0943)</t>
  </si>
  <si>
    <t xml:space="preserve">PMEAS</t>
  </si>
  <si>
    <t xml:space="preserve">Phosphatidylserine decarboxylase</t>
  </si>
  <si>
    <t xml:space="preserve">amet[c] + pe_AFE[c]  &lt;=&gt; ptdmeeta_AFE[c] + ahcys[c] </t>
  </si>
  <si>
    <t xml:space="preserve">2.1.1.17</t>
  </si>
  <si>
    <t xml:space="preserve">( Glycerophospholipid Metabolism ) or (Phosphatidylethanolamine biosynthesis )</t>
  </si>
  <si>
    <t xml:space="preserve">(AFE_2739 or AFE_0594)</t>
  </si>
  <si>
    <t xml:space="preserve">( AFE_2739 (AFE_2739) ) or ( AFE_0594 (AFE_0594) )</t>
  </si>
  <si>
    <t xml:space="preserve">( AFE_2739 ) or ( AFE_0594 )</t>
  </si>
  <si>
    <t xml:space="preserve">PMPK</t>
  </si>
  <si>
    <t xml:space="preserve">phosphomethylpyrimidine kinase</t>
  </si>
  <si>
    <t xml:space="preserve">atp[c] + 4ampm[c]  -&gt; adp[c] + 2mahmp[c] </t>
  </si>
  <si>
    <t xml:space="preserve">2.7.4.7</t>
  </si>
  <si>
    <t xml:space="preserve">AFE_3305</t>
  </si>
  <si>
    <t xml:space="preserve">AFE_3305(AFE_3305)</t>
  </si>
  <si>
    <t xml:space="preserve">PNTK</t>
  </si>
  <si>
    <t xml:space="preserve">pantothenate kinase</t>
  </si>
  <si>
    <t xml:space="preserve">atp[c] + pnto-R[c]  &lt;=&gt; h[c] + adp[c] + d4ppp[c] </t>
  </si>
  <si>
    <t xml:space="preserve">2.7.1.33</t>
  </si>
  <si>
    <t xml:space="preserve">PPA</t>
  </si>
  <si>
    <t xml:space="preserve">inorganic diphosphatase</t>
  </si>
  <si>
    <t xml:space="preserve">h2o[c] + ppi[c]  -&gt; h[c] + 2 pi[c] </t>
  </si>
  <si>
    <t xml:space="preserve">3.6.1.1</t>
  </si>
  <si>
    <t xml:space="preserve">AFE_0492</t>
  </si>
  <si>
    <t xml:space="preserve">Ppa (AFE_0492)</t>
  </si>
  <si>
    <t xml:space="preserve">Ppa</t>
  </si>
  <si>
    <t xml:space="preserve">PPBNGS</t>
  </si>
  <si>
    <t xml:space="preserve">porphobilinogen synthase</t>
  </si>
  <si>
    <t xml:space="preserve">2 5aop[c]  &lt;=&gt; h[c] + 2 h2o[c] + ppbng[c] </t>
  </si>
  <si>
    <t xml:space="preserve">4.2.1.24</t>
  </si>
  <si>
    <t xml:space="preserve">AFE_3298</t>
  </si>
  <si>
    <t xml:space="preserve">HemB (AFE_3298)</t>
  </si>
  <si>
    <t xml:space="preserve">HemB</t>
  </si>
  <si>
    <t xml:space="preserve">PPC</t>
  </si>
  <si>
    <t xml:space="preserve">phosphoenolpyruvate carboxylase</t>
  </si>
  <si>
    <t xml:space="preserve">h2o[c] + co2[c] + pep[c]  -&gt; h[c] + pi[c] + oaa[c] </t>
  </si>
  <si>
    <t xml:space="preserve">4.1.1.31</t>
  </si>
  <si>
    <t xml:space="preserve">AFE_1810</t>
  </si>
  <si>
    <t xml:space="preserve">AckA (AFE_1810)</t>
  </si>
  <si>
    <t xml:space="preserve">AckA</t>
  </si>
  <si>
    <t xml:space="preserve">PPCDC</t>
  </si>
  <si>
    <t xml:space="preserve">phosphopantothenoylcysteine decarboxylase</t>
  </si>
  <si>
    <t xml:space="preserve">h[c] + 4ppcys[c]  &lt;=&gt; co2[c] + 4ppan[c] </t>
  </si>
  <si>
    <t xml:space="preserve">4.1.1.36</t>
  </si>
  <si>
    <t xml:space="preserve">(Cofactor and Prosthetic Group Biosynthesis) or (Coenzyme A biosynthesis)</t>
  </si>
  <si>
    <t xml:space="preserve">AFE_0357</t>
  </si>
  <si>
    <t xml:space="preserve">CoaBC (AFE_0357)</t>
  </si>
  <si>
    <t xml:space="preserve">CoaBC</t>
  </si>
  <si>
    <t xml:space="preserve">PPK2</t>
  </si>
  <si>
    <t xml:space="preserve">polyphosphate kinase</t>
  </si>
  <si>
    <t xml:space="preserve">pi[c] + atp[c]  -&gt; adp[c] + polypi[c] </t>
  </si>
  <si>
    <t xml:space="preserve">2.7.4.1</t>
  </si>
  <si>
    <t xml:space="preserve">AFE_1876</t>
  </si>
  <si>
    <t xml:space="preserve">Ppk (AFE_1876)</t>
  </si>
  <si>
    <t xml:space="preserve">Ppk</t>
  </si>
  <si>
    <t xml:space="preserve">PPNCL2</t>
  </si>
  <si>
    <t xml:space="preserve">phosphopantothenate-cysteine ligase</t>
  </si>
  <si>
    <t xml:space="preserve">ctp[c] + cys-L[c] + d4ppp[c]  &lt;=&gt; h[c] + ppi[c] + cmp[c] + 4ppcys[c] </t>
  </si>
  <si>
    <t xml:space="preserve">6.3.2.5</t>
  </si>
  <si>
    <t xml:space="preserve">PPND</t>
  </si>
  <si>
    <t xml:space="preserve">prephenate dehydrogenase</t>
  </si>
  <si>
    <t xml:space="preserve">nad[c] + pphn[c]  -&gt; co2[c] + nadh[c] + 34hpp[c] </t>
  </si>
  <si>
    <t xml:space="preserve">1.3.1.12</t>
  </si>
  <si>
    <t xml:space="preserve">AFE_0900</t>
  </si>
  <si>
    <t xml:space="preserve">TyrA (AFE_0900)</t>
  </si>
  <si>
    <t xml:space="preserve">TyrA</t>
  </si>
  <si>
    <t xml:space="preserve">PPNDH</t>
  </si>
  <si>
    <t xml:space="preserve">prephenate dehydratase</t>
  </si>
  <si>
    <t xml:space="preserve">h[c] + pphn[c]  -&gt; h2o[c] + co2[c] + phpyr[c] </t>
  </si>
  <si>
    <t xml:space="preserve">4.2.1.51</t>
  </si>
  <si>
    <t xml:space="preserve">PPPGO</t>
  </si>
  <si>
    <t xml:space="preserve">protoporphyrinogen oxidase (aerobic)</t>
  </si>
  <si>
    <t xml:space="preserve">3 o2[c] + pppg9[c]  -&gt; 3 h2o2[c] + ppp9[c] </t>
  </si>
  <si>
    <t xml:space="preserve">1.3.3.4</t>
  </si>
  <si>
    <t xml:space="preserve">AFE_0570</t>
  </si>
  <si>
    <t xml:space="preserve">HemG (AFE_0570)</t>
  </si>
  <si>
    <t xml:space="preserve">HemG</t>
  </si>
  <si>
    <t xml:space="preserve">PPTtex</t>
  </si>
  <si>
    <t xml:space="preserve">ppt transport</t>
  </si>
  <si>
    <t xml:space="preserve">ppt[p]  &lt;=&gt; ppt[e] </t>
  </si>
  <si>
    <t xml:space="preserve">PPTtpp</t>
  </si>
  <si>
    <t xml:space="preserve">Phosphonate ABC transporter </t>
  </si>
  <si>
    <t xml:space="preserve">h2o[c] + atp[c] + ppt[p]  -&gt; h[c] + pi[c] + adp[c] + ppt[c] </t>
  </si>
  <si>
    <t xml:space="preserve">(AFE_2278 and AFE_2279 and AFE_2280 and AFE_2281 and AFE_2282 and AFE_2283 and AFE_2284 and AFE_2285 and AFE_2286)</t>
  </si>
  <si>
    <t xml:space="preserve">( PgnG (AFE_2278) and PhnH (AFE_2279) and PhnI (AFE_2280) and PhnJ (AFE_2281) and PhnK (AFE_2282) and PhnL (AFE_2283) and AFE_2284 (AFE_2284) and AFE_2285 (AFE_2285) and AFE_2286 (AFE_2286) )</t>
  </si>
  <si>
    <t xml:space="preserve">( PgnG and PhnH and PhnI and PhnJ and PhnK and PhnL and AFE_2284 and AFE_2285 and AFE_2286 )</t>
  </si>
  <si>
    <t xml:space="preserve">PRAGS</t>
  </si>
  <si>
    <t xml:space="preserve">phosphoribosylglycinamide synthase</t>
  </si>
  <si>
    <t xml:space="preserve">atp[c] + gly[c] + pram[c]  &lt;=&gt; h[c] + pi[c] + adp[c] + gar[c] </t>
  </si>
  <si>
    <t xml:space="preserve">6.3.4.13</t>
  </si>
  <si>
    <t xml:space="preserve">AFE_2261</t>
  </si>
  <si>
    <t xml:space="preserve">PurD (AFE_2261)</t>
  </si>
  <si>
    <t xml:space="preserve">PurD</t>
  </si>
  <si>
    <t xml:space="preserve">PRAI</t>
  </si>
  <si>
    <t xml:space="preserve">phosphoribosylanthranilate isomerase</t>
  </si>
  <si>
    <t xml:space="preserve">pran[c]  &lt;=&gt; 2cpr5p[c] </t>
  </si>
  <si>
    <t xml:space="preserve">5.3.1.24</t>
  </si>
  <si>
    <t xml:space="preserve">AFE_2070</t>
  </si>
  <si>
    <t xml:space="preserve">TrpF (AFE_2070)</t>
  </si>
  <si>
    <t xml:space="preserve">TrpF</t>
  </si>
  <si>
    <t xml:space="preserve">PRAIS</t>
  </si>
  <si>
    <t xml:space="preserve">phosphoribosylaminoimidazole synthase</t>
  </si>
  <si>
    <t xml:space="preserve">atp[c] + fpram[c]  -&gt; 2 h[c] + pi[c] + adp[c] + air[c] </t>
  </si>
  <si>
    <t xml:space="preserve">6.3.3.1</t>
  </si>
  <si>
    <t xml:space="preserve">AFE_1897</t>
  </si>
  <si>
    <t xml:space="preserve">PurM (AFE_1897)</t>
  </si>
  <si>
    <t xml:space="preserve">PurM</t>
  </si>
  <si>
    <t xml:space="preserve">PRAMPC</t>
  </si>
  <si>
    <t xml:space="preserve">phosphoribosyl-AMP cyclohydrolase</t>
  </si>
  <si>
    <t xml:space="preserve">h2o[c] + prbamp[c]  -&gt; prfp[c] </t>
  </si>
  <si>
    <t xml:space="preserve">3.5.4.19</t>
  </si>
  <si>
    <t xml:space="preserve">AFE_3047</t>
  </si>
  <si>
    <t xml:space="preserve">HisIE (AFE_3047)</t>
  </si>
  <si>
    <t xml:space="preserve">HisIE</t>
  </si>
  <si>
    <t xml:space="preserve">PRASCS</t>
  </si>
  <si>
    <t xml:space="preserve">phosphoribosylaminoimidazolesuccinocarboxamide synthase</t>
  </si>
  <si>
    <t xml:space="preserve">atp[c] + asp-L[c] + 5aizc[c]  &lt;=&gt; h[c] + pi[c] + adp[c] + 25aics[c] </t>
  </si>
  <si>
    <t xml:space="preserve">6.3.2.6</t>
  </si>
  <si>
    <t xml:space="preserve">AFE_2355</t>
  </si>
  <si>
    <t xml:space="preserve">PurC (AFE_2355)</t>
  </si>
  <si>
    <t xml:space="preserve">PurC</t>
  </si>
  <si>
    <t xml:space="preserve">PRATPP</t>
  </si>
  <si>
    <t xml:space="preserve">phosphoribosyl-ATP pyrophosphatase</t>
  </si>
  <si>
    <t xml:space="preserve">h2o[c] + prbatp[c]  -&gt; h[c] + ppi[c] + prbamp[c] </t>
  </si>
  <si>
    <t xml:space="preserve">3.6.1.31</t>
  </si>
  <si>
    <t xml:space="preserve">PRFGS</t>
  </si>
  <si>
    <t xml:space="preserve">phosphoribosylformylglycinamidine synthase</t>
  </si>
  <si>
    <t xml:space="preserve">h2o[c] + atp[c] + gln-L[c] + fgam[c]  -&gt; h[c] + glu-L[c] + pi[c] + adp[c] + fpram[c] </t>
  </si>
  <si>
    <t xml:space="preserve">6.3.5.3</t>
  </si>
  <si>
    <t xml:space="preserve">AFE_2354</t>
  </si>
  <si>
    <t xml:space="preserve">PurL (AFE_2354)</t>
  </si>
  <si>
    <t xml:space="preserve">PurL</t>
  </si>
  <si>
    <t xml:space="preserve">PRMICI</t>
  </si>
  <si>
    <t xml:space="preserve">1-(5-phosphoribosyl)-5-[(5-phosphoribosylamino)methylideneamino)imidazole-4-carboxamide isomerase</t>
  </si>
  <si>
    <t xml:space="preserve">prfp[c]  -&gt; prlp[c] </t>
  </si>
  <si>
    <t xml:space="preserve">5.3.1.16</t>
  </si>
  <si>
    <t xml:space="preserve">AFE_3045</t>
  </si>
  <si>
    <t xml:space="preserve">HisA (AFE_3045)</t>
  </si>
  <si>
    <t xml:space="preserve">HisA</t>
  </si>
  <si>
    <t xml:space="preserve">PRPPS</t>
  </si>
  <si>
    <t xml:space="preserve">phosphoribosylpyrophosphate synthetase</t>
  </si>
  <si>
    <t xml:space="preserve">atp[c] + r5p[c]  -&gt; h[c] + amp[c] + prpp[c] </t>
  </si>
  <si>
    <t xml:space="preserve">2.7.6.1</t>
  </si>
  <si>
    <t xml:space="preserve">AFE_2766</t>
  </si>
  <si>
    <t xml:space="preserve">PrsA (AFE_2766)</t>
  </si>
  <si>
    <t xml:space="preserve">PrsA</t>
  </si>
  <si>
    <t xml:space="preserve">PRUK</t>
  </si>
  <si>
    <t xml:space="preserve">Phosphoribulokinase</t>
  </si>
  <si>
    <t xml:space="preserve">atp[c] + ru5p-D[c]  -&gt; h[c] + adp[c] + rb15bp[c] </t>
  </si>
  <si>
    <t xml:space="preserve">2.7.1.19</t>
  </si>
  <si>
    <t xml:space="preserve">AFE_0536</t>
  </si>
  <si>
    <t xml:space="preserve">CbbP (AFE_0536)</t>
  </si>
  <si>
    <t xml:space="preserve">CbbP</t>
  </si>
  <si>
    <t xml:space="preserve">PSCVT</t>
  </si>
  <si>
    <t xml:space="preserve">3-phosphoshikimate 1-carboxyvinyltransferase</t>
  </si>
  <si>
    <t xml:space="preserve">pep[c] + skm5p[c]  &lt;=&gt; pi[c] + 3psme[c] </t>
  </si>
  <si>
    <t xml:space="preserve">2.5.1.19</t>
  </si>
  <si>
    <t xml:space="preserve">AFE_0901</t>
  </si>
  <si>
    <t xml:space="preserve">AroA (AFE_0901)</t>
  </si>
  <si>
    <t xml:space="preserve">AroA</t>
  </si>
  <si>
    <t xml:space="preserve">PSD120</t>
  </si>
  <si>
    <t xml:space="preserve">h[c] + ps120[c]  &lt;=&gt; co2[c] + pe_AFE[c] </t>
  </si>
  <si>
    <t xml:space="preserve">4.1.1.65</t>
  </si>
  <si>
    <t xml:space="preserve">AFE_2292</t>
  </si>
  <si>
    <t xml:space="preserve">AFE_2292 (AFE_2292)</t>
  </si>
  <si>
    <t xml:space="preserve">PSERT</t>
  </si>
  <si>
    <t xml:space="preserve">phosphoserine transaminase</t>
  </si>
  <si>
    <t xml:space="preserve">akg[c] + pser-L[c]  &lt;=&gt; glu-L[c] + 3php[c] </t>
  </si>
  <si>
    <t xml:space="preserve">PSP_L</t>
  </si>
  <si>
    <t xml:space="preserve">phosphoserine phosphatase (L-serine)</t>
  </si>
  <si>
    <t xml:space="preserve">h2o[c] + pser-L[c]  -&gt; pi[c] + ser-L[c] </t>
  </si>
  <si>
    <t xml:space="preserve">3.1.3.3</t>
  </si>
  <si>
    <t xml:space="preserve">AFE_0368</t>
  </si>
  <si>
    <t xml:space="preserve">SerB (AFE_0368)</t>
  </si>
  <si>
    <t xml:space="preserve">SerB</t>
  </si>
  <si>
    <t xml:space="preserve">PSSA120</t>
  </si>
  <si>
    <t xml:space="preserve">CDP-diacylglycerol--serine O-phosphatidyltransferase </t>
  </si>
  <si>
    <t xml:space="preserve">ser-L[c] + cdpdag_AFE[c]  &lt;=&gt; h[c] + cmp[c] + ps120[c] </t>
  </si>
  <si>
    <t xml:space="preserve">2.7.8.8</t>
  </si>
  <si>
    <t xml:space="preserve">AFE_2291</t>
  </si>
  <si>
    <t xml:space="preserve">AFE_2291 (AFE_2291)</t>
  </si>
  <si>
    <t xml:space="preserve">PTPAT</t>
  </si>
  <si>
    <t xml:space="preserve">pantetheine-phosphate adenylyltransferase</t>
  </si>
  <si>
    <t xml:space="preserve">h[c] + atp[c] + 4ppan[c]  &lt;=&gt; ppi[c] + dpcoa[c] </t>
  </si>
  <si>
    <t xml:space="preserve">2.7.7.3</t>
  </si>
  <si>
    <t xml:space="preserve">AFE_2755</t>
  </si>
  <si>
    <t xml:space="preserve">CoaD (AFE_2755)</t>
  </si>
  <si>
    <t xml:space="preserve">CoaD</t>
  </si>
  <si>
    <t xml:space="preserve">PUNP1</t>
  </si>
  <si>
    <t xml:space="preserve">purine-nucleoside phosphorylase (Adenosine)</t>
  </si>
  <si>
    <t xml:space="preserve">pi[c] + adn[c]  &lt;=&gt; ade[c] + r1p[c] </t>
  </si>
  <si>
    <t xml:space="preserve">2.4.2.1</t>
  </si>
  <si>
    <t xml:space="preserve">PUNP2</t>
  </si>
  <si>
    <t xml:space="preserve">inosine phosphorylase </t>
  </si>
  <si>
    <t xml:space="preserve">pi[c] + ins[c]  &lt;=&gt; r1p[c] + hxan[c] </t>
  </si>
  <si>
    <t xml:space="preserve">PUNP3</t>
  </si>
  <si>
    <t xml:space="preserve">guanosine phosphorylase </t>
  </si>
  <si>
    <t xml:space="preserve">pi[c] + gsn[c]  &lt;=&gt; r1p[c] + gua[c] </t>
  </si>
  <si>
    <t xml:space="preserve">PUNP4</t>
  </si>
  <si>
    <t xml:space="preserve">xanthosine phosphorylase </t>
  </si>
  <si>
    <t xml:space="preserve">pi[c] + xtsn[c]  &lt;=&gt; r1p[c] + xan[c] </t>
  </si>
  <si>
    <t xml:space="preserve">PYAM5PO</t>
  </si>
  <si>
    <t xml:space="preserve">pyridoxamine 5-phosphate oxidase</t>
  </si>
  <si>
    <t xml:space="preserve">h2o[c] + o2[c] + pyam5p[c]  &lt;=&gt; pydx5p[c] + nh4[c] + h2o2[c] </t>
  </si>
  <si>
    <t xml:space="preserve">PYDAMK</t>
  </si>
  <si>
    <t xml:space="preserve">pyridoxamine kinase</t>
  </si>
  <si>
    <t xml:space="preserve">atp[c] + pydam[c]  &lt;=&gt; h[c] + adp[c] + pyam5p[c] </t>
  </si>
  <si>
    <t xml:space="preserve">2.7.1.35</t>
  </si>
  <si>
    <t xml:space="preserve">PYDXK1</t>
  </si>
  <si>
    <t xml:space="preserve">Pyridoxal kinase</t>
  </si>
  <si>
    <t xml:space="preserve">atp[c] + pydx[c]  &lt;=&gt; h[c] + adp[c] + pydx5p[c] </t>
  </si>
  <si>
    <t xml:space="preserve">PYDXK2</t>
  </si>
  <si>
    <t xml:space="preserve">pyridoxal kinase</t>
  </si>
  <si>
    <t xml:space="preserve">atp[c] + pydxn[c]  &lt;=&gt; h[c] + adp[c] + pdx5p[c] </t>
  </si>
  <si>
    <t xml:space="preserve">PYK</t>
  </si>
  <si>
    <t xml:space="preserve">pyruvate kinase</t>
  </si>
  <si>
    <t xml:space="preserve">h[c] + adp[c] + pep[c]  -&gt; atp[c] + pyr[c] </t>
  </si>
  <si>
    <t xml:space="preserve">2.7.1.40</t>
  </si>
  <si>
    <t xml:space="preserve">(AFE_0749 or AFE_1801 or AFE_3249)</t>
  </si>
  <si>
    <t xml:space="preserve">( AFE_0749 (AFE_0749) ) or ( Pyk (AFE_1801) )  or ( PykA (AFE_3249) )</t>
  </si>
  <si>
    <t xml:space="preserve">( AFE_0749 ) or ( Pyk ) or ( PykA )</t>
  </si>
  <si>
    <t xml:space="preserve">PYRDB</t>
  </si>
  <si>
    <t xml:space="preserve">h[c] + amopbut-L[c]  &lt;=&gt; co2[c] + amoxoylph[c] </t>
  </si>
  <si>
    <t xml:space="preserve">( Cofactor and Prosthetic Group Biosynthesis ) or ( Pyridoxal 5''-phosphate biosynthesis ) </t>
  </si>
  <si>
    <t xml:space="preserve">Pitex</t>
  </si>
  <si>
    <t xml:space="preserve">pi transport</t>
  </si>
  <si>
    <t xml:space="preserve">pi[p]  &lt;=&gt; pi[e] </t>
  </si>
  <si>
    <t xml:space="preserve">Pitpp</t>
  </si>
  <si>
    <t xml:space="preserve">Phosphate ABC transporter</t>
  </si>
  <si>
    <t xml:space="preserve">h2o[c] + atp[c] + pi[p]  -&gt; h[c] + 2 pi[c] + adp[c] </t>
  </si>
  <si>
    <t xml:space="preserve">((AFE_1939 and AFE_1940 and AFE_1941) or (AFE_1434 and AFE_1435 and AFE_1436 and AFE_1437 and AFE_1438 and AFE_1439 and AFE_1440 and AFE_1441))</t>
  </si>
  <si>
    <t xml:space="preserve">( PstS1 (AFE_1939) and PstC2 (AFE_1940) and PstC1 (AFE_1941) ) or ( PhoB (AFE_1434) and PhoR (AFE_1435) and PstS2 (AFE_1436) and PstC2 (AFE_1437) and PstA (AFE_1438) and PstB (AFE_1439) and PhoU (AFE_1440) and Ppx (AFE_1441) )</t>
  </si>
  <si>
    <t xml:space="preserve">( PstS1 and PstC2 and PstC1 ) or ( PhoB and PhoR and PstS2 and PstC2 and PstA and PstB and PhoU and Ppx )</t>
  </si>
  <si>
    <t xml:space="preserve">QULNS</t>
  </si>
  <si>
    <t xml:space="preserve">quinolinate synthase</t>
  </si>
  <si>
    <t xml:space="preserve">dhap[c] + iasp[c]  &lt;=&gt; pi[c] + 2 h2o[c] + quln[c] </t>
  </si>
  <si>
    <t xml:space="preserve">2.5.1.72</t>
  </si>
  <si>
    <t xml:space="preserve">AFE_0057</t>
  </si>
  <si>
    <t xml:space="preserve">NadA (AFE_0057)</t>
  </si>
  <si>
    <t xml:space="preserve">NadA</t>
  </si>
  <si>
    <t xml:space="preserve">RBFK1</t>
  </si>
  <si>
    <t xml:space="preserve">riboflavin kinase</t>
  </si>
  <si>
    <t xml:space="preserve">atp[c] + ribflv[c]  -&gt; h[c] + adp[c] + fmn[c] </t>
  </si>
  <si>
    <t xml:space="preserve">2.7.1.26</t>
  </si>
  <si>
    <t xml:space="preserve">RBFS</t>
  </si>
  <si>
    <t xml:space="preserve">riboflavin synthase</t>
  </si>
  <si>
    <t xml:space="preserve">2 dmlz[c]  -&gt; ribflv[c] + 4r5au[c] </t>
  </si>
  <si>
    <t xml:space="preserve">2.5.1.9</t>
  </si>
  <si>
    <t xml:space="preserve">AFE_0298</t>
  </si>
  <si>
    <t xml:space="preserve">RibE (AFE_0298)</t>
  </si>
  <si>
    <t xml:space="preserve">RibE</t>
  </si>
  <si>
    <t xml:space="preserve">RBFS2</t>
  </si>
  <si>
    <t xml:space="preserve">4r5au[c] + db4p[c]  &lt;=&gt; pi[c] + 2 h2o[c] + dmlz[c] </t>
  </si>
  <si>
    <t xml:space="preserve">2.5.1.78</t>
  </si>
  <si>
    <t xml:space="preserve">AFE_0300</t>
  </si>
  <si>
    <t xml:space="preserve">RibH(AFE_0300)</t>
  </si>
  <si>
    <t xml:space="preserve">RibH</t>
  </si>
  <si>
    <t xml:space="preserve">RHCCE</t>
  </si>
  <si>
    <t xml:space="preserve">S-ribosylhomocysteine cleavage enzyme</t>
  </si>
  <si>
    <t xml:space="preserve">rhcys[c]  -&gt; hcys-L[c] + dhptd[c] </t>
  </si>
  <si>
    <t xml:space="preserve">4.4.1.21</t>
  </si>
  <si>
    <t xml:space="preserve">RIBPH</t>
  </si>
  <si>
    <t xml:space="preserve">h2o[c] + 5a65pilamura[c]  &lt;=&gt; pi[c] + 4r5au[c] </t>
  </si>
  <si>
    <t xml:space="preserve">(Cofactor and Prosthetic Group Biosynthesis) or (Flavin Biosynthesis)</t>
  </si>
  <si>
    <t xml:space="preserve">RNDR1</t>
  </si>
  <si>
    <t xml:space="preserve">ribonucleoside-diphosphate reductase (ADP)</t>
  </si>
  <si>
    <t xml:space="preserve">adp[c] + trdrd[c]  -&gt; h2o[c] + trdox[c] + dadp[c] </t>
  </si>
  <si>
    <t xml:space="preserve">1.17.4.1</t>
  </si>
  <si>
    <t xml:space="preserve">(AFE_2639 and AFE_2638)</t>
  </si>
  <si>
    <t xml:space="preserve">( NrdB (AFE_2639) and NrdA (AFE_2638) )</t>
  </si>
  <si>
    <t xml:space="preserve">( NrdB and NrdA )</t>
  </si>
  <si>
    <t xml:space="preserve">RNDR2</t>
  </si>
  <si>
    <t xml:space="preserve">ribonucleoside-diphosphate reductase (GDP)</t>
  </si>
  <si>
    <t xml:space="preserve">gdp[c] + trdrd[c]  -&gt; h2o[c] + trdox[c] + dgdp[c] </t>
  </si>
  <si>
    <t xml:space="preserve">RNDR3</t>
  </si>
  <si>
    <t xml:space="preserve">ribonucleoside-diphosphate reductase (CDP)</t>
  </si>
  <si>
    <t xml:space="preserve">cdp[c] + trdrd[c]  -&gt; h2o[c] + dcdp[c] + trdox[c] </t>
  </si>
  <si>
    <t xml:space="preserve">RNDR4</t>
  </si>
  <si>
    <t xml:space="preserve">ribonucleoside-diphosphate reductase (UDP)</t>
  </si>
  <si>
    <t xml:space="preserve">h[c] + udp[c] + trdrd[c]  -&gt; h2o[c] + trdox[c] + dudp[c] </t>
  </si>
  <si>
    <t xml:space="preserve">RPE</t>
  </si>
  <si>
    <t xml:space="preserve">ribulose 5-phosphate 3-epimerase</t>
  </si>
  <si>
    <t xml:space="preserve">ru5p-D[c]  &lt;=&gt; xu5p-D[c] </t>
  </si>
  <si>
    <t xml:space="preserve">5.1.3.1</t>
  </si>
  <si>
    <t xml:space="preserve">AFE_3247</t>
  </si>
  <si>
    <t xml:space="preserve">Rpe (AFE_3247)</t>
  </si>
  <si>
    <t xml:space="preserve">Rpe</t>
  </si>
  <si>
    <t xml:space="preserve">RPI</t>
  </si>
  <si>
    <t xml:space="preserve">ribose-5-phosphate isomerase</t>
  </si>
  <si>
    <t xml:space="preserve">r5p[c]  -&gt; ru5p-D[c] </t>
  </si>
  <si>
    <t xml:space="preserve">5.3.1.6</t>
  </si>
  <si>
    <t xml:space="preserve">AFE_0629</t>
  </si>
  <si>
    <t xml:space="preserve">RpiA (AFE_0629)</t>
  </si>
  <si>
    <t xml:space="preserve">RpiA</t>
  </si>
  <si>
    <t xml:space="preserve">RUBISCO</t>
  </si>
  <si>
    <t xml:space="preserve">Ribulose-bisphosphate carboxylase</t>
  </si>
  <si>
    <t xml:space="preserve">h2o[c] + co2[c] + rb15bp[c]  &lt;=&gt; 2 h[c] + 2 3pg[c] </t>
  </si>
  <si>
    <t xml:space="preserve">4.1.1.39</t>
  </si>
  <si>
    <t xml:space="preserve">(AFE_2155 or AFE_0434 or (AFE_3051 and AFE_3052) or (AFE_1690 and AFE_1691))</t>
  </si>
  <si>
    <t xml:space="preserve">( CbbL2 (AFE_2155) ) or ( CcbL2 (AFE_0434) ) or ( RbcL (AFE_3051) and CbbS-1 (AFE_3052) ) or ( CbbS-2 (AFE_1690) and RbcL (AFE_1691) )</t>
  </si>
  <si>
    <t xml:space="preserve">( CbbL2 ) or ( CcbL2 ) or ( RbcL and CbbS-1 ) or ( CbbS-2 and RbcL )</t>
  </si>
  <si>
    <t xml:space="preserve">RUBISCOX</t>
  </si>
  <si>
    <t xml:space="preserve">ribulose-bisphosphate carboxylase</t>
  </si>
  <si>
    <t xml:space="preserve">rb15bp[c] + o2[c]  -&gt; 2 h[c] + 3pg[c] + 2pglyc[c] </t>
  </si>
  <si>
    <t xml:space="preserve">S7PI</t>
  </si>
  <si>
    <t xml:space="preserve">sedoheptulose 7-phosphate isomerase</t>
  </si>
  <si>
    <t xml:space="preserve">s7p[c]  &lt;=&gt; gmhep7p[c] </t>
  </si>
  <si>
    <t xml:space="preserve">(AFE_0714 or AFE_0141)</t>
  </si>
  <si>
    <t xml:space="preserve">( GmhA (AFE_0714) ) or ( AFE_0141 (AFE_0141) )</t>
  </si>
  <si>
    <t xml:space="preserve">( GmhA ) or ( AFE_0141 )</t>
  </si>
  <si>
    <t xml:space="preserve">SADT</t>
  </si>
  <si>
    <t xml:space="preserve">sulfate adenylate transferase</t>
  </si>
  <si>
    <t xml:space="preserve">h[c] + atp[c] + so4[c]  -&gt; ppi[c] + aps[c] </t>
  </si>
  <si>
    <t xml:space="preserve">2.7.7.4</t>
  </si>
  <si>
    <t xml:space="preserve">14675496 &amp;&amp; 19703284</t>
  </si>
  <si>
    <t xml:space="preserve">((AFE_2970 and AFE_2971) or (AFE_3124 and AFE_3125))</t>
  </si>
  <si>
    <t xml:space="preserve">( CysD1 (AFE_2970) and CysNC (AFE_2971) ) or ( CysD2 (AFE_3124) and CysN (AFE_3125) )</t>
  </si>
  <si>
    <t xml:space="preserve">( CysD1 and CysNC ) or ( CysD2 and CysN )</t>
  </si>
  <si>
    <t xml:space="preserve">SBPASE</t>
  </si>
  <si>
    <t xml:space="preserve">Sedoheptulose-bisphosphatase</t>
  </si>
  <si>
    <t xml:space="preserve">h2o[c] + s17bp[c]  &lt;=&gt; pi[c] + s7p[c] </t>
  </si>
  <si>
    <t xml:space="preserve">3.1.3.37</t>
  </si>
  <si>
    <t xml:space="preserve">AFE_3253</t>
  </si>
  <si>
    <t xml:space="preserve">GlpX (AFE_3253)</t>
  </si>
  <si>
    <t xml:space="preserve">GlpX</t>
  </si>
  <si>
    <t xml:space="preserve">SCCR</t>
  </si>
  <si>
    <t xml:space="preserve">sulfite cytochrome c reductase</t>
  </si>
  <si>
    <t xml:space="preserve">h2o[p] + so3[p] + etpcycAox[p]  -&gt; 2 h[p] + so4[p] + etpcycArd[p] </t>
  </si>
  <si>
    <t xml:space="preserve">1.8.2.1</t>
  </si>
  <si>
    <t xml:space="preserve">12855721 &amp;&amp; 17911085</t>
  </si>
  <si>
    <t xml:space="preserve">SDPDS</t>
  </si>
  <si>
    <t xml:space="preserve">succinyl-diaminopimelate desuccinylase</t>
  </si>
  <si>
    <t xml:space="preserve">h2o[c] + sl26da[c]  &lt;=&gt; 26dap-LL[c] + succ[c] </t>
  </si>
  <si>
    <t xml:space="preserve">3.5.1.18</t>
  </si>
  <si>
    <t xml:space="preserve">AFE_1819</t>
  </si>
  <si>
    <t xml:space="preserve">DapE (AFE_1819)</t>
  </si>
  <si>
    <t xml:space="preserve">DapE</t>
  </si>
  <si>
    <t xml:space="preserve">SDPTA</t>
  </si>
  <si>
    <t xml:space="preserve">succinyldiaminopimelate transaminase</t>
  </si>
  <si>
    <t xml:space="preserve">akg[c] + sl26da[c]  &lt;=&gt; glu-L[c] + sl2a6o[c] </t>
  </si>
  <si>
    <t xml:space="preserve">2.6.1.17</t>
  </si>
  <si>
    <t xml:space="preserve">AFE_1821</t>
  </si>
  <si>
    <t xml:space="preserve">AFE_1821 (AFE_1821)</t>
  </si>
  <si>
    <t xml:space="preserve">SERAT</t>
  </si>
  <si>
    <t xml:space="preserve">serine O-acetyltransferase</t>
  </si>
  <si>
    <t xml:space="preserve">accoa[c] + ser-L[c]  &lt;=&gt; coa[c] + acser[c] </t>
  </si>
  <si>
    <t xml:space="preserve">2.3.1.30</t>
  </si>
  <si>
    <t xml:space="preserve">(AFE_1505 and AFE_0671)</t>
  </si>
  <si>
    <t xml:space="preserve">( CysE1 (AFE_1505) and CysE2 (AFE_0671) )</t>
  </si>
  <si>
    <t xml:space="preserve">( CysE1 and CysE2 )</t>
  </si>
  <si>
    <t xml:space="preserve">SFAT1</t>
  </si>
  <si>
    <t xml:space="preserve">sulfate adenylyltransferase</t>
  </si>
  <si>
    <t xml:space="preserve">ppi[c] + aps[c]  -&gt; h[c] + atp[c] + so4[c] </t>
  </si>
  <si>
    <t xml:space="preserve">AFE_0539</t>
  </si>
  <si>
    <t xml:space="preserve">SFAT2</t>
  </si>
  <si>
    <t xml:space="preserve">pi[c] + aps[c]  -&gt; h[c] + adp[c] + so4[c] </t>
  </si>
  <si>
    <t xml:space="preserve">SHBI</t>
  </si>
  <si>
    <t xml:space="preserve">fe2[c] + scl[c]  &lt;=&gt; 3 h[c] + sheme[c] </t>
  </si>
  <si>
    <t xml:space="preserve">4.99.1.4</t>
  </si>
  <si>
    <t xml:space="preserve">(Cofactor and Prosthetic Group Biosynthesis) or (Siroheme Biosynthesis)</t>
  </si>
  <si>
    <t xml:space="preserve">SHCHD2</t>
  </si>
  <si>
    <t xml:space="preserve">sirohydrochlorin dehydrogenase (NAD)</t>
  </si>
  <si>
    <t xml:space="preserve">nad[c] + dscl[c]  &lt;=&gt; h[c] + nadh[c] + scl[c] </t>
  </si>
  <si>
    <t xml:space="preserve">1.3.1.76</t>
  </si>
  <si>
    <t xml:space="preserve">SHK3D</t>
  </si>
  <si>
    <t xml:space="preserve">shikimate dehydrogenase</t>
  </si>
  <si>
    <t xml:space="preserve">nadp[c] + skm[c]  &lt;=&gt; h[c] + nadph[c] + 3dhsk[c] </t>
  </si>
  <si>
    <t xml:space="preserve">1.1.1.25</t>
  </si>
  <si>
    <t xml:space="preserve">AFE_0182</t>
  </si>
  <si>
    <t xml:space="preserve">AroE (AFE_0182)</t>
  </si>
  <si>
    <t xml:space="preserve">AroE</t>
  </si>
  <si>
    <t xml:space="preserve">SHKK</t>
  </si>
  <si>
    <t xml:space="preserve">shikimate-kinase</t>
  </si>
  <si>
    <t xml:space="preserve">atp[c] + skm[c]  -&gt; h[c] + adp[c] + skm5p[c] </t>
  </si>
  <si>
    <t xml:space="preserve">2.7.1.71</t>
  </si>
  <si>
    <t xml:space="preserve">(Tyrosine, Tryptophan, and Phenylalanine Metabolism) or (Chorismate Biosynthesis)</t>
  </si>
  <si>
    <t xml:space="preserve">AFE_0734</t>
  </si>
  <si>
    <t xml:space="preserve">AroK (AFE_0734)</t>
  </si>
  <si>
    <t xml:space="preserve">AroK</t>
  </si>
  <si>
    <t xml:space="preserve">SO41tpp</t>
  </si>
  <si>
    <t xml:space="preserve">sulfate ABC transporter</t>
  </si>
  <si>
    <t xml:space="preserve">so4[p] + h2o[c] + atp[c]  -&gt; h[c] + pi[c] + adp[c] + so4[c] </t>
  </si>
  <si>
    <t xml:space="preserve">(Transport, Inner Membrane) or (Sulfur Metabolism)</t>
  </si>
  <si>
    <t xml:space="preserve">SO42tpp</t>
  </si>
  <si>
    <t xml:space="preserve">sulfate permease</t>
  </si>
  <si>
    <t xml:space="preserve">so4[p]  -&gt; so4[c] </t>
  </si>
  <si>
    <t xml:space="preserve">AFE_0286</t>
  </si>
  <si>
    <t xml:space="preserve">AFE_0286 (AFE_0286)</t>
  </si>
  <si>
    <t xml:space="preserve">SO4AA1tpp</t>
  </si>
  <si>
    <t xml:space="preserve">h2o[c] + atp[c] + so4aa[p]  -&gt; h[c] + pi[c] + adp[c] + so4[c] </t>
  </si>
  <si>
    <t xml:space="preserve">SO4AA2tpp</t>
  </si>
  <si>
    <t xml:space="preserve">sulfate transport inner membrane</t>
  </si>
  <si>
    <t xml:space="preserve">so4aa[p]  &lt;=&gt; so4aa[e] </t>
  </si>
  <si>
    <t xml:space="preserve">SO4tex</t>
  </si>
  <si>
    <t xml:space="preserve">so4 transport</t>
  </si>
  <si>
    <t xml:space="preserve">so4[p]  &lt;=&gt; so4[e] </t>
  </si>
  <si>
    <t xml:space="preserve">SPMS</t>
  </si>
  <si>
    <t xml:space="preserve">Spermidine synthase</t>
  </si>
  <si>
    <t xml:space="preserve">ametam[c] + ptrc[c]  &lt;=&gt; h[c] + spmd[c] + 5mta[c] </t>
  </si>
  <si>
    <t xml:space="preserve">2.5.1.16</t>
  </si>
  <si>
    <t xml:space="preserve">( Arginine and Proline Metabolism ) or ( Spermidine biosynthesis )</t>
  </si>
  <si>
    <t xml:space="preserve">(AFE_0157 and AFE_0156 and AFE_2160)</t>
  </si>
  <si>
    <t xml:space="preserve">( AFE_0157 (AFE_0157) and SpeE(AFE_0156) and AFE_2160(AFE_2160) )</t>
  </si>
  <si>
    <t xml:space="preserve">( AFE_0157 and SpeE and AFE_2160 )</t>
  </si>
  <si>
    <t xml:space="preserve">SQRED1</t>
  </si>
  <si>
    <t xml:space="preserve">q8[c] + h2s[p]  &lt;=&gt; s[p] + q8h2[c] </t>
  </si>
  <si>
    <t xml:space="preserve">1.8.5.4</t>
  </si>
  <si>
    <t xml:space="preserve">(AFE_1792 or (AFE_2177 and AFE_2178 and AFE_2179 and AFE_2181))</t>
  </si>
  <si>
    <t xml:space="preserve">( AFE_1792 (AFE_1792 ) ) or ( ( SreA (AFE_2177) and SreB (AFE_2178) and SreC (AFE_2179) and SreD (AFE_2181) ) ) </t>
  </si>
  <si>
    <t xml:space="preserve">( AFE_1792 ) or ( SreA and SreB and SreC and SreD )</t>
  </si>
  <si>
    <t xml:space="preserve">SUCD</t>
  </si>
  <si>
    <t xml:space="preserve">succinate dehydrogenase</t>
  </si>
  <si>
    <t xml:space="preserve">h[c] + nadh[c] + fum[c]  &lt;=&gt; nad[c] + succ[c] </t>
  </si>
  <si>
    <t xml:space="preserve">AFE_2550</t>
  </si>
  <si>
    <t xml:space="preserve">SdhC (AFE_2550)</t>
  </si>
  <si>
    <t xml:space="preserve">SdhC</t>
  </si>
  <si>
    <t xml:space="preserve">SUCOAS</t>
  </si>
  <si>
    <t xml:space="preserve">succinyl-CoA synthetase (ADP-forming)</t>
  </si>
  <si>
    <t xml:space="preserve">atp[c] + coa[c] + succ[c]  &lt;=&gt; pi[c] + adp[c] + succoa[c] </t>
  </si>
  <si>
    <t xml:space="preserve">6.2.1.5</t>
  </si>
  <si>
    <t xml:space="preserve">(AFE_0427 and AFE_0425)</t>
  </si>
  <si>
    <t xml:space="preserve">( SucD (AFE_0427) and SucC (AFE_0425) )</t>
  </si>
  <si>
    <t xml:space="preserve">( SucD and SucC )</t>
  </si>
  <si>
    <t xml:space="preserve">SULDO</t>
  </si>
  <si>
    <t xml:space="preserve">sulfur dioxygenase</t>
  </si>
  <si>
    <t xml:space="preserve">s[p] + h2o[p] + o2[p]  &lt;=&gt; 2 h[p] + so3[p] </t>
  </si>
  <si>
    <t xml:space="preserve">1.13.11.18</t>
  </si>
  <si>
    <t xml:space="preserve">SULR2</t>
  </si>
  <si>
    <t xml:space="preserve">Sulfite reductase (NADPH)</t>
  </si>
  <si>
    <t xml:space="preserve">3 h2o[c] + 3 nadp[c] + h2s[c]  &lt;=&gt; 5 h[c] + 3 nadph[c] + so3[c] </t>
  </si>
  <si>
    <t xml:space="preserve">1.8.1.2</t>
  </si>
  <si>
    <t xml:space="preserve">(AFE_3121 and AFE_3122)</t>
  </si>
  <si>
    <t xml:space="preserve">( CysJ (AFE_3121) and CysI (AFE_3122) )</t>
  </si>
  <si>
    <t xml:space="preserve">( CysJ and CysI )</t>
  </si>
  <si>
    <t xml:space="preserve">Stex</t>
  </si>
  <si>
    <t xml:space="preserve">s transport</t>
  </si>
  <si>
    <t xml:space="preserve">s[p]  &lt;=&gt; s[e] </t>
  </si>
  <si>
    <t xml:space="preserve">T2DECAI</t>
  </si>
  <si>
    <t xml:space="preserve">trans-2-decenoyl-(acyl-carrier protein) isomerase </t>
  </si>
  <si>
    <t xml:space="preserve">tdec2eACP[c]  &lt;=&gt; dec3ACP[c] </t>
  </si>
  <si>
    <t xml:space="preserve">5.3.3.14</t>
  </si>
  <si>
    <t xml:space="preserve">TALA</t>
  </si>
  <si>
    <t xml:space="preserve">transaldolase</t>
  </si>
  <si>
    <t xml:space="preserve">g3p[c] + s7p[c]  &lt;=&gt; e4p[c] + f6p-B[c] </t>
  </si>
  <si>
    <t xml:space="preserve">2.2.1.2</t>
  </si>
  <si>
    <t xml:space="preserve">AFE_0419</t>
  </si>
  <si>
    <t xml:space="preserve">Tal (AFE_0419)</t>
  </si>
  <si>
    <t xml:space="preserve">Tal</t>
  </si>
  <si>
    <t xml:space="preserve">TDPDRE1</t>
  </si>
  <si>
    <t xml:space="preserve">dTDP-4-dehydrorhamnose 3,5-epimerase</t>
  </si>
  <si>
    <t xml:space="preserve">dtdp4d6dg[c]  &lt;=&gt; dtdp4d6dm[c] </t>
  </si>
  <si>
    <t xml:space="preserve">5.1.3.13</t>
  </si>
  <si>
    <t xml:space="preserve">AFE_3294</t>
  </si>
  <si>
    <t xml:space="preserve">RfbC (AFE_3294)</t>
  </si>
  <si>
    <t xml:space="preserve">RfbC</t>
  </si>
  <si>
    <t xml:space="preserve">TDPDRE2</t>
  </si>
  <si>
    <t xml:space="preserve">dTDP-L-rhamnose synthetase </t>
  </si>
  <si>
    <t xml:space="preserve">h[c] + nadh[c] + dtdp4d6dg[c]  -&gt; nad[c] + dtdprmn[c] </t>
  </si>
  <si>
    <t xml:space="preserve">TDPDRR</t>
  </si>
  <si>
    <t xml:space="preserve">dTDP-4-dehydrorhamnose reductase</t>
  </si>
  <si>
    <t xml:space="preserve">h[c] + nadph[c] + dtdp4d6dm[c]  -&gt; nadp[c] + dtdprmn[c] </t>
  </si>
  <si>
    <t xml:space="preserve">1.1.1.133</t>
  </si>
  <si>
    <t xml:space="preserve">AFE_0442</t>
  </si>
  <si>
    <t xml:space="preserve">RfbD (AFE_0442)</t>
  </si>
  <si>
    <t xml:space="preserve">RfbD</t>
  </si>
  <si>
    <t xml:space="preserve">TDPGDH</t>
  </si>
  <si>
    <t xml:space="preserve">dTDPglucose 4,6-dehydratase</t>
  </si>
  <si>
    <t xml:space="preserve">dtdpglu[c]  &lt;=&gt; h2o[c] + dtdp4d6dg[c] </t>
  </si>
  <si>
    <t xml:space="preserve">4.2.1.46</t>
  </si>
  <si>
    <t xml:space="preserve">AFE_0441</t>
  </si>
  <si>
    <t xml:space="preserve">RfbB (AFE_0441)</t>
  </si>
  <si>
    <t xml:space="preserve">RfbB</t>
  </si>
  <si>
    <t xml:space="preserve">TDSK</t>
  </si>
  <si>
    <t xml:space="preserve">Tetraacyldisaccharide 4kinase</t>
  </si>
  <si>
    <t xml:space="preserve">atp[c] + lipidA_AFE[c]  -&gt; h[c] + adp[c] + lipid4A_AFE[c] </t>
  </si>
  <si>
    <t xml:space="preserve">2.7.1.130</t>
  </si>
  <si>
    <t xml:space="preserve">AFE_0489</t>
  </si>
  <si>
    <t xml:space="preserve">LpxK (AFE_0489)</t>
  </si>
  <si>
    <t xml:space="preserve">LpxK</t>
  </si>
  <si>
    <t xml:space="preserve">THDPS</t>
  </si>
  <si>
    <t xml:space="preserve">tetrahydrodipicolinate succinylase</t>
  </si>
  <si>
    <t xml:space="preserve">h2o[c] + succoa[c] + thdp[c]  &lt;=&gt; sl2a6o[c] + coa[c] </t>
  </si>
  <si>
    <t xml:space="preserve">2.3.1.117</t>
  </si>
  <si>
    <t xml:space="preserve">AFE_1820</t>
  </si>
  <si>
    <t xml:space="preserve">DapD (AFE_1820)</t>
  </si>
  <si>
    <t xml:space="preserve">DapD</t>
  </si>
  <si>
    <t xml:space="preserve">THFAT</t>
  </si>
  <si>
    <t xml:space="preserve">Tetrahydrofolate aminomethyltransferase</t>
  </si>
  <si>
    <t xml:space="preserve">h2o[c] + methf[c]  &lt;=&gt; h[c] + 5fthf[c] </t>
  </si>
  <si>
    <t xml:space="preserve">2.1.2.10</t>
  </si>
  <si>
    <t xml:space="preserve">THMP</t>
  </si>
  <si>
    <t xml:space="preserve">thiamin phosphatase</t>
  </si>
  <si>
    <t xml:space="preserve">h2o[c] + thmmp[c]  &lt;=&gt; pi[c] + thm[c] </t>
  </si>
  <si>
    <t xml:space="preserve">3.1.3.2</t>
  </si>
  <si>
    <t xml:space="preserve">THPDH</t>
  </si>
  <si>
    <t xml:space="preserve">4-hydroxythreonine-4-phosphate dehydrogenase </t>
  </si>
  <si>
    <t xml:space="preserve">nad[c] + phthr[c]  &lt;=&gt; h[c] + nadh[c] + amopbut-L[c] </t>
  </si>
  <si>
    <t xml:space="preserve">1.1.1.262</t>
  </si>
  <si>
    <t xml:space="preserve">AFE_0165</t>
  </si>
  <si>
    <t xml:space="preserve">PdxA (AFE_0165)</t>
  </si>
  <si>
    <t xml:space="preserve">PdxA</t>
  </si>
  <si>
    <t xml:space="preserve">THRD_L</t>
  </si>
  <si>
    <t xml:space="preserve">L-threonine deaminase</t>
  </si>
  <si>
    <t xml:space="preserve">thr-L[c]  -&gt; nh4[c] + 2obut[c] </t>
  </si>
  <si>
    <t xml:space="preserve">4.3.1.19</t>
  </si>
  <si>
    <t xml:space="preserve">AFE_0722</t>
  </si>
  <si>
    <t xml:space="preserve">IlvA (AFE_0722)</t>
  </si>
  <si>
    <t xml:space="preserve">IlvA</t>
  </si>
  <si>
    <t xml:space="preserve">THRS</t>
  </si>
  <si>
    <t xml:space="preserve">threonine synthase</t>
  </si>
  <si>
    <t xml:space="preserve">h2o[c] + phom[c]  -&gt; pi[c] + thr-L[c] </t>
  </si>
  <si>
    <t xml:space="preserve">4.2.3.1</t>
  </si>
  <si>
    <t xml:space="preserve">AFE_0474</t>
  </si>
  <si>
    <t xml:space="preserve">ThrC (AFE_0474)</t>
  </si>
  <si>
    <t xml:space="preserve">ThrC</t>
  </si>
  <si>
    <t xml:space="preserve">TKT1</t>
  </si>
  <si>
    <t xml:space="preserve">transketolase</t>
  </si>
  <si>
    <t xml:space="preserve">e4p[c] + xu5p-D[c]  &lt;=&gt; g3p[c] + f6p-B[c] </t>
  </si>
  <si>
    <t xml:space="preserve">2.2.1.1</t>
  </si>
  <si>
    <t xml:space="preserve">(AFE_1843 and AFE_3252)</t>
  </si>
  <si>
    <t xml:space="preserve">( Tkt1 (AFE_1843) and Tkt2 (AFE_3252) )</t>
  </si>
  <si>
    <t xml:space="preserve">( Tkt1 and Tkt2 )</t>
  </si>
  <si>
    <t xml:space="preserve">TKT2</t>
  </si>
  <si>
    <t xml:space="preserve">g3p[c] + s7p[c]  &lt;=&gt; r5p[c] + xu5p-D[c] </t>
  </si>
  <si>
    <t xml:space="preserve">TMDK1</t>
  </si>
  <si>
    <t xml:space="preserve">Deoxyuridine kinase (ATP:Deoxyuridine)</t>
  </si>
  <si>
    <t xml:space="preserve">atp[c] + duri[c]  -&gt; h[c] + adp[c] + dump[c] </t>
  </si>
  <si>
    <t xml:space="preserve">2.7.1.21</t>
  </si>
  <si>
    <t xml:space="preserve">TMDK2</t>
  </si>
  <si>
    <t xml:space="preserve">thymidine kinase (ATP:thymidine)</t>
  </si>
  <si>
    <t xml:space="preserve">atp[c] + thymd[c]  -&gt; h[c] + adp[c] + dtmp[c] </t>
  </si>
  <si>
    <t xml:space="preserve">TMDS</t>
  </si>
  <si>
    <t xml:space="preserve">Thymidylate synthase</t>
  </si>
  <si>
    <t xml:space="preserve">mlthf[c] + dump[c]  &lt;=&gt; dtmp[c] + dhf[c] </t>
  </si>
  <si>
    <t xml:space="preserve">2.1.1.45</t>
  </si>
  <si>
    <t xml:space="preserve">TMPK</t>
  </si>
  <si>
    <t xml:space="preserve">thiamine-phosphate kinase</t>
  </si>
  <si>
    <t xml:space="preserve">atp[c] + thmmp[c]  &lt;=&gt; adp[c] + thmpp[c] </t>
  </si>
  <si>
    <t xml:space="preserve">2.7.4.16</t>
  </si>
  <si>
    <t xml:space="preserve">AFE_0928</t>
  </si>
  <si>
    <t xml:space="preserve">ThiL (AFE_0928)</t>
  </si>
  <si>
    <t xml:space="preserve">ThiL</t>
  </si>
  <si>
    <t xml:space="preserve">TMPPP</t>
  </si>
  <si>
    <t xml:space="preserve">thiamine-phosphate diphosphorylase</t>
  </si>
  <si>
    <t xml:space="preserve">h[c] + 2mahmp[c] + 4mpetz[c]  -&gt; ppi[c] + thmmp[c] </t>
  </si>
  <si>
    <t xml:space="preserve">2.5.1.3</t>
  </si>
  <si>
    <t xml:space="preserve">AFE_3304</t>
  </si>
  <si>
    <t xml:space="preserve">ThiE (AFE_3304)</t>
  </si>
  <si>
    <t xml:space="preserve">ThiE</t>
  </si>
  <si>
    <t xml:space="preserve">TPI</t>
  </si>
  <si>
    <t xml:space="preserve">triose-phosphate isomerase</t>
  </si>
  <si>
    <t xml:space="preserve">g3p[c]  &lt;=&gt; dhap[c] </t>
  </si>
  <si>
    <t xml:space="preserve">5.3.1.1</t>
  </si>
  <si>
    <t xml:space="preserve">AFE_2633</t>
  </si>
  <si>
    <t xml:space="preserve">TpiA (AFE_2633)</t>
  </si>
  <si>
    <t xml:space="preserve">TpiA</t>
  </si>
  <si>
    <t xml:space="preserve">TRDR</t>
  </si>
  <si>
    <t xml:space="preserve">thioredoxin reductase (NADPH)</t>
  </si>
  <si>
    <t xml:space="preserve">nadph[c] + trdrd[c]  -&gt; 3 h[c] + nadp[c] + trdox[c] </t>
  </si>
  <si>
    <t xml:space="preserve">1.8.1.9</t>
  </si>
  <si>
    <t xml:space="preserve">AFE_0375</t>
  </si>
  <si>
    <t xml:space="preserve">TrxB (AFE_0375)</t>
  </si>
  <si>
    <t xml:space="preserve">TrxB</t>
  </si>
  <si>
    <t xml:space="preserve">TRPS2</t>
  </si>
  <si>
    <t xml:space="preserve">tryptophan synthase (indole)</t>
  </si>
  <si>
    <t xml:space="preserve">ser-L[c] + indole[c]  &lt;=&gt; h2o[c] + trp-L[c] </t>
  </si>
  <si>
    <t xml:space="preserve">4.2.1.20</t>
  </si>
  <si>
    <t xml:space="preserve">(AFE_2068 and AFE_2069)</t>
  </si>
  <si>
    <t xml:space="preserve">( TrpA (AFE_2068) and TrpB (AFE_2069) )</t>
  </si>
  <si>
    <t xml:space="preserve">( TrpA and TrpB )</t>
  </si>
  <si>
    <t xml:space="preserve">TRPS3</t>
  </si>
  <si>
    <t xml:space="preserve">tryptophan synthase (indoleglycerol phosphate)</t>
  </si>
  <si>
    <t xml:space="preserve">3ig3p[c]  &lt;=&gt; g3p[c] + indole[c] </t>
  </si>
  <si>
    <t xml:space="preserve">AFE_2068</t>
  </si>
  <si>
    <t xml:space="preserve">TrpA (AFE_2068)</t>
  </si>
  <si>
    <t xml:space="preserve">TrpA</t>
  </si>
  <si>
    <t xml:space="preserve">TRSAR</t>
  </si>
  <si>
    <t xml:space="preserve">2-hydroxy-3-oxopropionate reductase </t>
  </si>
  <si>
    <t xml:space="preserve">nad[c] + glyc-R[c]  &lt;=&gt; h[c] + nadh[c] + 2h3oppan[c] </t>
  </si>
  <si>
    <t xml:space="preserve">1.1.1.60</t>
  </si>
  <si>
    <t xml:space="preserve">TSQOC</t>
  </si>
  <si>
    <t xml:space="preserve">thiosulfate-quinone oxireductase complex</t>
  </si>
  <si>
    <t xml:space="preserve">2 tsul[p] + 2 h[c] + q8[c]  -&gt; ttton[p] + q8h2[c] </t>
  </si>
  <si>
    <t xml:space="preserve">(AFE_0041 and AFE_0042 and AFE_0043 and AFE_0044 and AFE_0045 and AFE_0046)</t>
  </si>
  <si>
    <t xml:space="preserve">( AFE_0041 (AFE_0041) and AFE_0042 (AFE_0042) and AFE_0043 (AFE_0043) and DoxD2 (AFE_0044) and AFE_0045 (AFE_0045) and AFE_0046 (AFE_0046) )</t>
  </si>
  <si>
    <t xml:space="preserve">( AFE_0041 and AFE_0042 and AFE_0043 and DoxD2 and AFE_0045 and AFE_0046 )</t>
  </si>
  <si>
    <t xml:space="preserve">TSULtex</t>
  </si>
  <si>
    <t xml:space="preserve">tsul transport</t>
  </si>
  <si>
    <t xml:space="preserve">tsul[p]  &lt;=&gt; tsul[e] </t>
  </si>
  <si>
    <t xml:space="preserve">TTMS</t>
  </si>
  <si>
    <t xml:space="preserve">Thiamine thiazole moiety synthesis</t>
  </si>
  <si>
    <t xml:space="preserve">atp[c] + amet[c] + nadph[c] + tyr-L[c] + dxyl5p[c] + iscssulfcys[c]  -&gt; 2 h[c] + h2o[c] + co2[c] + ppi[c] + nadp[c] + met-L[c] + amp[c] + dad-5[c] + iscscys[c] + 4mpetz[c] + 4hba[c] </t>
  </si>
  <si>
    <t xml:space="preserve">(AFE_0643 and AFE_1974)</t>
  </si>
  <si>
    <t xml:space="preserve">( ThiG (AFE_0643) and Dxs (AFE_1974) )</t>
  </si>
  <si>
    <t xml:space="preserve">( ThiG and Dxs )</t>
  </si>
  <si>
    <t xml:space="preserve">TTSF</t>
  </si>
  <si>
    <t xml:space="preserve">thymidylate synthase (FAD)</t>
  </si>
  <si>
    <t xml:space="preserve">mlthf[c] + dump[c] + fadh2[c]  &lt;=&gt; fad[c] + thf[c] + dtmp[c] </t>
  </si>
  <si>
    <t xml:space="preserve">2.1.1.148</t>
  </si>
  <si>
    <t xml:space="preserve">AFE_0732 </t>
  </si>
  <si>
    <t xml:space="preserve">ThyX (AFE_0732)</t>
  </si>
  <si>
    <t xml:space="preserve">ThyX</t>
  </si>
  <si>
    <t xml:space="preserve">TTTONtex</t>
  </si>
  <si>
    <t xml:space="preserve">ttton transport</t>
  </si>
  <si>
    <t xml:space="preserve">ttton[p]  &lt;=&gt; ttton[e] </t>
  </si>
  <si>
    <t xml:space="preserve">TYRTA</t>
  </si>
  <si>
    <t xml:space="preserve">tyrosine transaminase</t>
  </si>
  <si>
    <t xml:space="preserve">glu-L[c] + 34hpp[c]  &lt;=&gt; akg[c] + tyr-L[c] </t>
  </si>
  <si>
    <t xml:space="preserve">UAAA</t>
  </si>
  <si>
    <t xml:space="preserve">UDP-3-O-3-hydroxymiristoyl glucosamine N-acetyltransferase</t>
  </si>
  <si>
    <t xml:space="preserve">3hmrsACP[c] + udpglucpypi[c]  -&gt; h[c] + ACP[c] + udpglucpy[c] </t>
  </si>
  <si>
    <t xml:space="preserve">2.3.1.191</t>
  </si>
  <si>
    <t xml:space="preserve">AFE_1454</t>
  </si>
  <si>
    <t xml:space="preserve">LpxD (AFE_1454)</t>
  </si>
  <si>
    <t xml:space="preserve">LpxD</t>
  </si>
  <si>
    <t xml:space="preserve">UAAD</t>
  </si>
  <si>
    <t xml:space="preserve">UDP-3-O-acyl N-acetylglucosamine deacetylase</t>
  </si>
  <si>
    <t xml:space="preserve">h2o[c] + u3aga[c]  -&gt; ac[c] + udpglucpypi[c] </t>
  </si>
  <si>
    <t xml:space="preserve">3.5.1.108</t>
  </si>
  <si>
    <t xml:space="preserve">AFE_0223</t>
  </si>
  <si>
    <t xml:space="preserve">LpxC (AFE_0223)</t>
  </si>
  <si>
    <t xml:space="preserve">LpxC</t>
  </si>
  <si>
    <t xml:space="preserve">UAAGDS</t>
  </si>
  <si>
    <t xml:space="preserve">UDP-N-acetylmuramoylalanyl-D-glutamate--2,6-diaminopimelate ligase</t>
  </si>
  <si>
    <t xml:space="preserve">atp[c] + 26dap-M[c] + uamag[c]  &lt;=&gt; h[c] + pi[c] + adp[c] + ugmd[c] </t>
  </si>
  <si>
    <t xml:space="preserve">6.3.2.13</t>
  </si>
  <si>
    <t xml:space="preserve">AFE_0211</t>
  </si>
  <si>
    <t xml:space="preserve">MurE (AFE_0211)</t>
  </si>
  <si>
    <t xml:space="preserve">MurE</t>
  </si>
  <si>
    <t xml:space="preserve">UACAA</t>
  </si>
  <si>
    <t xml:space="preserve">Pyridoxal phosphate-dependent UDP 2-acetamido-2-deoxy-alpha-D-ribo-hexopyranos-3-ulose 3-aminotransferase </t>
  </si>
  <si>
    <t xml:space="preserve">glu-L[c] + uacgamo[c]  -&gt; akg[c] + u3agn[c] </t>
  </si>
  <si>
    <t xml:space="preserve">AFE_1458</t>
  </si>
  <si>
    <t xml:space="preserve">GnnB (AFE_1458)</t>
  </si>
  <si>
    <t xml:space="preserve">GnnB</t>
  </si>
  <si>
    <t xml:space="preserve">UAGAAT</t>
  </si>
  <si>
    <t xml:space="preserve">UDP-N-acetylglucosamine acyltransferase</t>
  </si>
  <si>
    <t xml:space="preserve">3hmrsACP[c] + u3agn[c]  -&gt; h[c] + ACP[c] + u3aga[c] </t>
  </si>
  <si>
    <t xml:space="preserve">2.3.1.129</t>
  </si>
  <si>
    <t xml:space="preserve">AFE_1456</t>
  </si>
  <si>
    <t xml:space="preserve">LpxA (AFE_1456)</t>
  </si>
  <si>
    <t xml:space="preserve">LpxA</t>
  </si>
  <si>
    <t xml:space="preserve">UAGCVT</t>
  </si>
  <si>
    <t xml:space="preserve">UDP-N-acetylglucosamine 1-carboxyvinyltransferase</t>
  </si>
  <si>
    <t xml:space="preserve">pep[c] + uacgam[c]  &lt;=&gt; pi[c] + uaccg[c] </t>
  </si>
  <si>
    <t xml:space="preserve">2.5.1.7</t>
  </si>
  <si>
    <t xml:space="preserve">AFE_3039</t>
  </si>
  <si>
    <t xml:space="preserve">MurA (AFE_3039)</t>
  </si>
  <si>
    <t xml:space="preserve">MurA</t>
  </si>
  <si>
    <t xml:space="preserve">UAGDP</t>
  </si>
  <si>
    <t xml:space="preserve">UDP-N-acetylglucosamine diphosphorylase</t>
  </si>
  <si>
    <t xml:space="preserve">h[c] + utp[c] + acgam1p[c]  -&gt; ppi[c] + uacgam[c] </t>
  </si>
  <si>
    <t xml:space="preserve">2.7.7.23</t>
  </si>
  <si>
    <t xml:space="preserve">UAMAGS</t>
  </si>
  <si>
    <t xml:space="preserve">UDP-N-acetylmuramoylalanine--D-glutamate ligase</t>
  </si>
  <si>
    <t xml:space="preserve">atp[c] + uama[c] + glu-D[c]  &lt;=&gt; h[c] + pi[c] + adp[c] + uamag[c] </t>
  </si>
  <si>
    <t xml:space="preserve">6.3.2.9</t>
  </si>
  <si>
    <t xml:space="preserve">AFE_0208</t>
  </si>
  <si>
    <t xml:space="preserve">MurD (AFE_0208)</t>
  </si>
  <si>
    <t xml:space="preserve">MurD</t>
  </si>
  <si>
    <t xml:space="preserve">UAMAS</t>
  </si>
  <si>
    <t xml:space="preserve">UDP-N-acetylmuramate--alanine ligase</t>
  </si>
  <si>
    <t xml:space="preserve">atp[c] + ala-L[c] + uamr[c]  &lt;=&gt; h[c] + pi[c] + adp[c] + uama[c] </t>
  </si>
  <si>
    <t xml:space="preserve">6.3.2.8</t>
  </si>
  <si>
    <t xml:space="preserve">AFE_0205</t>
  </si>
  <si>
    <t xml:space="preserve">MurC (AFE_0205)</t>
  </si>
  <si>
    <t xml:space="preserve">MurC</t>
  </si>
  <si>
    <t xml:space="preserve">UAPGR</t>
  </si>
  <si>
    <t xml:space="preserve">UDP-N-acetylmuramate dehydrogenase</t>
  </si>
  <si>
    <t xml:space="preserve">nadp[c] + uamr[c]  &lt;=&gt; h[c] + nadph[c] + uaccg[c] </t>
  </si>
  <si>
    <t xml:space="preserve">1.1.1.158</t>
  </si>
  <si>
    <t xml:space="preserve">AFE_0204</t>
  </si>
  <si>
    <t xml:space="preserve">MurB (AFE_0204)</t>
  </si>
  <si>
    <t xml:space="preserve">MurB</t>
  </si>
  <si>
    <t xml:space="preserve">UCMAT</t>
  </si>
  <si>
    <t xml:space="preserve">undecaprenyldiphospho-muramoylpentapeptide ?-N-acetylglucosaminyltransferase</t>
  </si>
  <si>
    <t xml:space="preserve">uacgam[c] + uagmda[c]  -&gt; h[c] + udp[c] + ugmdal[c] </t>
  </si>
  <si>
    <t xml:space="preserve">2.4.1.227</t>
  </si>
  <si>
    <t xml:space="preserve">UDCPDP</t>
  </si>
  <si>
    <t xml:space="preserve">undecaprenyl-diphosphatase</t>
  </si>
  <si>
    <t xml:space="preserve">h2o[c] + udcpdp[c]  -&gt; h[c] + pi[c] + udcpp[c] </t>
  </si>
  <si>
    <t xml:space="preserve">3.6.1.27</t>
  </si>
  <si>
    <t xml:space="preserve">AFE_0636</t>
  </si>
  <si>
    <t xml:space="preserve">AFE_0636 (AFE_0636)</t>
  </si>
  <si>
    <t xml:space="preserve">UDCPDPS</t>
  </si>
  <si>
    <t xml:space="preserve">Undecaprenyl diphosphate synthase</t>
  </si>
  <si>
    <t xml:space="preserve">h[c] + 8 ipdp[c] + frdp[c]  &lt;=&gt; 8 ppi[c] + dtpcudcpdp[c] </t>
  </si>
  <si>
    <t xml:space="preserve">UDDS</t>
  </si>
  <si>
    <t xml:space="preserve">undecaprenyl diphosphate synthase</t>
  </si>
  <si>
    <t xml:space="preserve">8 ipdp[c] + frdp[c]  -&gt; 8 ppi[c] + udcpdp[c] </t>
  </si>
  <si>
    <t xml:space="preserve">AFE_1448 </t>
  </si>
  <si>
    <t xml:space="preserve">UDPGD</t>
  </si>
  <si>
    <t xml:space="preserve">UDPglucose 6-dehydrogenase</t>
  </si>
  <si>
    <t xml:space="preserve">h2o[c] + 2 nad[c] + udpg[c]  &lt;=&gt; 3 h[c] + 2 nadh[c] + udpglcur[c] </t>
  </si>
  <si>
    <t xml:space="preserve">1.1.1.22</t>
  </si>
  <si>
    <t xml:space="preserve">( Cell Envelope Biosynthesis ) or ( UDP-D-xylose biosynthesis )</t>
  </si>
  <si>
    <t xml:space="preserve">(AFE_1405 or AFE_1343)</t>
  </si>
  <si>
    <t xml:space="preserve">( AFE_1405 (AFE_1405) ) or ( AFE_1343 (AFE_1343) )</t>
  </si>
  <si>
    <t xml:space="preserve">( AFE_1405 ) or ( AFE_1343 )</t>
  </si>
  <si>
    <t xml:space="preserve">UGDC</t>
  </si>
  <si>
    <t xml:space="preserve">UDP-glucuronate decarboxylase</t>
  </si>
  <si>
    <t xml:space="preserve">h[c] + udpglcur[c]  -&gt; co2[c] + udpxyl[c] </t>
  </si>
  <si>
    <t xml:space="preserve">UGLDDS</t>
  </si>
  <si>
    <t xml:space="preserve">UDP-N-acetylmuramoyl-tripeptide--D-alanyl-D-alanine ligase</t>
  </si>
  <si>
    <t xml:space="preserve">atp[c] + alaala[c] + ugmd[c]  -&gt; h[c] + pi[c] + adp[c] + ugmda[c] </t>
  </si>
  <si>
    <t xml:space="preserve">6.3.2.10</t>
  </si>
  <si>
    <t xml:space="preserve">AFE_0210</t>
  </si>
  <si>
    <t xml:space="preserve">MurF (AFE_0210)</t>
  </si>
  <si>
    <t xml:space="preserve">MurF</t>
  </si>
  <si>
    <t xml:space="preserve">UHGA</t>
  </si>
  <si>
    <t xml:space="preserve">h2o[c] + udpglucpy[c]  -&gt; 2 h[c] + biglucpypi[c] + ump[c] </t>
  </si>
  <si>
    <t xml:space="preserve">3.6.1.54</t>
  </si>
  <si>
    <t xml:space="preserve">AFE_1987</t>
  </si>
  <si>
    <t xml:space="preserve">LpxH (AFE_1987)</t>
  </si>
  <si>
    <t xml:space="preserve">LpxH</t>
  </si>
  <si>
    <t xml:space="preserve">UPP3MT1</t>
  </si>
  <si>
    <t xml:space="preserve">Uroporphyrinogen-III C-methyltransferase </t>
  </si>
  <si>
    <t xml:space="preserve">amet[c] + pre1[c]  &lt;=&gt; dscl[c] + ahcys[c] </t>
  </si>
  <si>
    <t xml:space="preserve">2.1.1.107</t>
  </si>
  <si>
    <t xml:space="preserve">UPP3MT2</t>
  </si>
  <si>
    <t xml:space="preserve">uroporphyrinogen methyltransferase</t>
  </si>
  <si>
    <t xml:space="preserve">amet[c] + uppg3[c]  &lt;=&gt; h[c] + ahcys[c] + pre1[c] </t>
  </si>
  <si>
    <t xml:space="preserve">UPP3S</t>
  </si>
  <si>
    <t xml:space="preserve">uroporphyrinogen-III synthase</t>
  </si>
  <si>
    <t xml:space="preserve">hmbil[c]  -&gt; h2o[c] + uppg3[c] </t>
  </si>
  <si>
    <t xml:space="preserve">4.2.1.75</t>
  </si>
  <si>
    <t xml:space="preserve">(Cofactor and Prosthetic Group Biosynthesis) or (Heme Biosynthesis)</t>
  </si>
  <si>
    <t xml:space="preserve">AFE_3299</t>
  </si>
  <si>
    <t xml:space="preserve">HemD (AFE_3299)</t>
  </si>
  <si>
    <t xml:space="preserve">HemD</t>
  </si>
  <si>
    <t xml:space="preserve">UPPDC1</t>
  </si>
  <si>
    <t xml:space="preserve">uroporphyrinogen decarboxylase (uroporphyrinogen III)</t>
  </si>
  <si>
    <t xml:space="preserve">4 h[c] + uppg3[c]  -&gt; 4 co2[c] + cpppg3[c] </t>
  </si>
  <si>
    <t xml:space="preserve">4.1.1.37</t>
  </si>
  <si>
    <t xml:space="preserve">AFE_0728</t>
  </si>
  <si>
    <t xml:space="preserve">HemE (AFE_0728)</t>
  </si>
  <si>
    <t xml:space="preserve">HemE</t>
  </si>
  <si>
    <t xml:space="preserve">UPPRT</t>
  </si>
  <si>
    <t xml:space="preserve">uracil phosphoribosyltransferase</t>
  </si>
  <si>
    <t xml:space="preserve">ppi[c] + ump[c]  &lt;=&gt; prpp[c] + ura[c] </t>
  </si>
  <si>
    <t xml:space="preserve">2.4.2.9</t>
  </si>
  <si>
    <t xml:space="preserve">AFE_3060</t>
  </si>
  <si>
    <t xml:space="preserve">PyrR (AFE_3060)</t>
  </si>
  <si>
    <t xml:space="preserve">PyrR</t>
  </si>
  <si>
    <t xml:space="preserve">URIDK</t>
  </si>
  <si>
    <t xml:space="preserve">uridylate kinase</t>
  </si>
  <si>
    <t xml:space="preserve">atp[c] + ump[c]  &lt;=&gt; adp[c] + udp[c] </t>
  </si>
  <si>
    <t xml:space="preserve">2.7.4.22</t>
  </si>
  <si>
    <t xml:space="preserve">AFE_1446</t>
  </si>
  <si>
    <t xml:space="preserve">PyrH (AFE_1446)</t>
  </si>
  <si>
    <t xml:space="preserve">PyrH</t>
  </si>
  <si>
    <t xml:space="preserve">URIK1</t>
  </si>
  <si>
    <t xml:space="preserve">uridine kinase (ATP:Uridine)</t>
  </si>
  <si>
    <t xml:space="preserve">atp[c] + uri[c]  -&gt; h[c] + adp[c] + ump[c] </t>
  </si>
  <si>
    <t xml:space="preserve">2.7.1.48</t>
  </si>
  <si>
    <t xml:space="preserve">URIK2</t>
  </si>
  <si>
    <t xml:space="preserve">uridine kinase (GTP:Uridine)</t>
  </si>
  <si>
    <t xml:space="preserve">gtp[c] + uri[c]  -&gt; h[c] + gdp[c] + ump[c] </t>
  </si>
  <si>
    <t xml:space="preserve">URIP</t>
  </si>
  <si>
    <t xml:space="preserve">uridine phosphorylase</t>
  </si>
  <si>
    <t xml:space="preserve">pi[c] + uri[c]  &lt;=&gt; ura[c] + r1p[c] </t>
  </si>
  <si>
    <t xml:space="preserve">2.4.2.3</t>
  </si>
  <si>
    <t xml:space="preserve">VALTA1</t>
  </si>
  <si>
    <t xml:space="preserve">valine transaminase</t>
  </si>
  <si>
    <t xml:space="preserve">pyr[c] + val-L[c]  &lt;=&gt; ala-L[c] + 3mob[c] </t>
  </si>
  <si>
    <t xml:space="preserve">2.6.1.66</t>
  </si>
  <si>
    <t xml:space="preserve">VALTA2</t>
  </si>
  <si>
    <t xml:space="preserve">akg[c] + val-L[c]  &lt;=&gt; glu-L[c] + 3mob[c] </t>
  </si>
  <si>
    <t xml:space="preserve">XAND</t>
  </si>
  <si>
    <t xml:space="preserve">xanthine dehydrogenase</t>
  </si>
  <si>
    <t xml:space="preserve">h2o[c] + nad[c] + xan[c]  -&gt; h[c] + nadh[c] + urate[c] </t>
  </si>
  <si>
    <t xml:space="preserve">((AFE_0780 and AFE_0777 and AFE_0776 and AFE_0775) or AFE_0772)</t>
  </si>
  <si>
    <t xml:space="preserve">( AFE_0780 (AFE_0780) and AFE_0777 (AFE_0777) and AFE_0776 (AFE_0776) and AFE_0775 (AFE_0775) ) or ( 'AFE_0772 (AFE_0772) )</t>
  </si>
  <si>
    <t xml:space="preserve">( AFE_0780 and AFE_0777 and AFE_0776 and AFE_0775 ) or ( AFE_0772 )</t>
  </si>
  <si>
    <t xml:space="preserve">XPPT</t>
  </si>
  <si>
    <t xml:space="preserve">xanthine phosphoribosyltransferase</t>
  </si>
  <si>
    <t xml:space="preserve">prpp[c] + xan[c]  -&gt; ppi[c] + xmp[c] </t>
  </si>
  <si>
    <t xml:space="preserve">2.4.2.22</t>
  </si>
  <si>
    <t xml:space="preserve">ZN2tex</t>
  </si>
  <si>
    <t xml:space="preserve">zn2 transport</t>
  </si>
  <si>
    <t xml:space="preserve">zn2[e]  &lt;=&gt; zn2[p] </t>
  </si>
  <si>
    <t xml:space="preserve">ZN2tpp</t>
  </si>
  <si>
    <t xml:space="preserve">zn2[p]  -&gt; zn2[c] </t>
  </si>
  <si>
    <t xml:space="preserve">Metabolite Abbreviation</t>
  </si>
  <si>
    <t xml:space="preserve">Metabolite Name</t>
  </si>
  <si>
    <t xml:space="preserve">Charged Formula</t>
  </si>
  <si>
    <t xml:space="preserve">Charge</t>
  </si>
  <si>
    <t xml:space="preserve">Location</t>
  </si>
  <si>
    <t xml:space="preserve">InChI string</t>
  </si>
  <si>
    <t xml:space="preserve">KEGG ID</t>
  </si>
  <si>
    <t xml:space="preserve">PubChem ID</t>
  </si>
  <si>
    <t xml:space="preserve">10fthf[c]</t>
  </si>
  <si>
    <t xml:space="preserve">10-Formyltetrahydrofolate</t>
  </si>
  <si>
    <t xml:space="preserve">C20H21N7O7</t>
  </si>
  <si>
    <t xml:space="preserve">Cytosol</t>
  </si>
  <si>
    <t xml:space="preserve">InChI=1/C20H23N7O7/c21-20-25-16-15(18(32)26-20)23-11(7-22-16)8-27(9-28)12-3-1-10(2-4-12)17(31)24-13(19(33)34)5-6-14(29)30/h1-4,9,11,13,23H,5-8H2,(H,24,31)(H,29,30)(H,33,34)(H4,21,22,25,26,32)/p-2/t11?,13-/s2
AuxInfo=1/1/N:29,30,24,25,28,32,16,17,22,27,15,20,26,34,18,19,31,21,33,23,14,9,8,13,11,12,10,2,6,7,3,1,4,5/E:(1,2)(3,4)(29,30)(33,34)/rA:34OOOO-OO-ONNNNNNNCCCCCCCCCCCC.oCCCCCCCC/rB:;;;;;;;;;;;;;s8;s9s15;s10s15;s8;s9s11d-18;s10;d1s12s18;d2s10;s11d-12s14;d+20;s20;s13;;s26;s24d-27;d-25s27;d3s13s27;s28;s4d5s26;s6d7s32;/rC:21.2703,-.305,0;13.2429,-4.9784,0;9.2417,1.9516,0;3.9069,.4116,0;5.2407,-1.8984,0;3.9069,5.0318,0;6.5744,5.0318,0;18.5778,-1.8984,0;18.5778,-4.9784,0;14.5766,-2.6684,0;21.2882,-5.032,0;22.6835,-2.6363,0;7.9081,-.3584,0;24.0143,-5.0155,0;17.2441,-2.6684,0;17.2441,-4.2084,0;15.9103,-1.8984,0;19.9114,-2.6684,0;19.9114,-4.2084,0;13.2429,-1.8984,0;21.2882,-1.845,0;14.5766,-4.2084,0;22.6835,-4.2405,0;13.2429,-.3584,0;11.9091,-2.6684,0;6.5744,.4116,0;10.5756,-.3584,0;6.5744,1.9516,0;11.9091,.4116,0;10.5756,-1.8984,0;9.2417,.4116,0;5.2407,2.7218,0;5.2407,-.3584,0;5.2407,4.2618,0;
</t>
  </si>
  <si>
    <t xml:space="preserve">C00234</t>
  </si>
  <si>
    <t xml:space="preserve">12dhy3meten[c]</t>
  </si>
  <si>
    <t xml:space="preserve">1,2-Dihydroxy-5-(methylthio)pent-1-en-3-one</t>
  </si>
  <si>
    <t xml:space="preserve">C6H9O3S</t>
  </si>
  <si>
    <t xml:space="preserve">InChI=1S/C6H10O3S/c1-10-3-2-5(8)6(9)4-7/h4,7,9H,2-3H2,1H3/b6-4-
AuxInfo=1/0/N:8,4,5,1,3,2,9,6,10,7/rA:10CCCCCOSCOO/rB:d+1;s2;s3;s4;d3;s5;s7;s1;s2;/rC:-1.691,2.1037,0;-.3573,1.3337,0;.9763,2.1037,0;2.31,1.3337,0;3.6437,2.1037,0;.9763,3.6437,0;4.9773,1.3337,0;6.311,2.1037,0;-3.0247,1.3337,0;-.3573,-.2063,0;
</t>
  </si>
  <si>
    <t xml:space="preserve">13dpg[c]</t>
  </si>
  <si>
    <t xml:space="preserve">3-Phospho-D-glyceroyl_phosphate</t>
  </si>
  <si>
    <t xml:space="preserve">C3H4O10P2</t>
  </si>
  <si>
    <t xml:space="preserve">InChI=1/C3H8O10P2/c4-2(1-12-14(6,7)8)3(5)13-15(9,10)11/h2,4H,1H2,(H2,6,7,8)(H2,9,10,11)/p-4/t2-/s2
AuxInfo=1/1/N:14,13,15,4,6,7,8,11,9,10,12,3,5,1,2/E:(6,7,8)(9,10,11)/rA:19PPOOOOO-O-O-O-OOC.oCCHHHH/rB:;s1;;s2;;s1;s1;s2;s2;d1;d2;s4;s3s13;s5d6s13;s13;s14;s14;s4;/rC:13.2429,-.6237,0;5.2407,-.6237,0;11.9091,.1463,0;9.2417,1.6863,0;6.5744,.1463,0;7.9081,-2.1638,0;14.5766,-1.3937,0;14.0129,.7099,0;3.9069,-1.3937,0;4.4707,.7099,0;12.4729,-1.9574,0;6.0107,-1.9574,0;9.2417,.1463,0;10.5756,-.6237,0;7.9081,-.6237,0;10.0688,.6237,0;9.9617,-1.355,0;11.1894,-1.355,0;10.0688,2.1638,0;
</t>
  </si>
  <si>
    <t xml:space="preserve">C00236</t>
  </si>
  <si>
    <t xml:space="preserve">1pyr5c[c]</t>
  </si>
  <si>
    <t xml:space="preserve">L-1-Pyrroline-5-carboxylate</t>
  </si>
  <si>
    <t xml:space="preserve">C5H6NO2</t>
  </si>
  <si>
    <t xml:space="preserve">InChI=1/C5H7NO2/c7-5(8)4-2-1-3-6-4/h3-4H,1-2H2,(H,7,8)/p-1/t4-/s2
AuxInfo=1/1/N:6,4,7,5,8,3,1,2/E:(7,8)/rA:14O-ONCC.eCCCHHHHHH/rB:;;;s3s4;s4;d-3s6;s1d2s5;s4;s4;s5;s6;s6;s7;/rC:7.3565,-1.5758,0;8.1809,.961,0;4.3258,-.4988,0;5.0958,1.871,0;5.5716,.4062,0;3.5558,1.871,0;3.08,.4062,0;7.0364,-.0696,0;6.0299,2.0694,0;4.9961,2.8205,0;5.7211,-.5367,0;3.6557,2.8205,0;2.6219,2.0694,0;2.1719,.1113,0;
</t>
  </si>
  <si>
    <t xml:space="preserve">C03912</t>
  </si>
  <si>
    <t xml:space="preserve">23dhdp[c]</t>
  </si>
  <si>
    <t xml:space="preserve">2,3-Dihydrodipicolinate</t>
  </si>
  <si>
    <t xml:space="preserve">C7H5NO4</t>
  </si>
  <si>
    <t xml:space="preserve">InChI=1/C7H7NO4/c9-6(10)4-2-1-3-5(8-4)7(11)12/h1-2,5H,3H2,(H,9,10)(H,11,12)/p-2/t5-/s2
AuxInfo=1/1/N:8,10,7,9,6,12,11,5,3,4,1,2/E:(9,10)(11,12)/rA:17O-OO-ONC.eCCCCCCHHHHH/rB:;;;;s5;s6;s7;d-5;d-8s9;s1d2s6;s3d4s9;s6;s7;s7;s8;s10;/rC:3.9069,0,0;5.2407,-2.31,0;11.9091,0,0;10.5756,-2.31,0;7.9081,-.77,0;6.5744,0,0;6.5744,1.54,0;7.9081,2.31,0;9.2417,0,0;9.2417,1.54,0;5.2407,-.77,0;10.5756,-.77,0;6.5744,-.9548,0;6.2477,2.4373,0;5.634,1.3742,0;7.9081,3.2648,0;10.0688,2.0175,0;
</t>
  </si>
  <si>
    <t xml:space="preserve">C03340</t>
  </si>
  <si>
    <t xml:space="preserve">23dhmb[c]</t>
  </si>
  <si>
    <t xml:space="preserve">R-2,3-Dihydroxy-3-methylbutanoate</t>
  </si>
  <si>
    <t xml:space="preserve">C5H9O4</t>
  </si>
  <si>
    <t xml:space="preserve">InChI=1/C5H10O4/c1-5(2,9)3(6)4(7)8/h3,6,9H,1-2H3,(H,7,8)/p-1/t3-/s2
AuxInfo=1/1/N:7,8,6,9,5,2,3,4,1/E:(1,2)(7,8)/rA:18OOO-OCC.oCCCHHHHHHHHH/rB:;;;s1;s2s5;s5;s5;s3d4s6;s6;s8;s8;s7;s7;s8;s7;s1;s2;/rC:3.9069,-1.3937,0;6.5744,1.6863,0;9.2417,.1463,0;7.9081,-2.1638,0;5.2407,-.6237,0;6.5744,.1463,0;4.4707,.7099,0;6.0107,-1.9574,0;7.9081,-.6237,0;7.4013,.6237,0;5.1837,-2.4349,0;6.4882,-2.7843,0;5.2976,1.1874,0;3.9934,1.537,0;6.8376,-1.4799,0;3.6437,.2326,0;3.08,-.9163,0;7.4013,2.1638,0;
</t>
  </si>
  <si>
    <t xml:space="preserve">C04272</t>
  </si>
  <si>
    <t xml:space="preserve">23dhmp[c]</t>
  </si>
  <si>
    <t xml:space="preserve">R-2,3-dihydroxy-3-methylpentanoate</t>
  </si>
  <si>
    <t xml:space="preserve">C6H11O4</t>
  </si>
  <si>
    <t xml:space="preserve">InChI=1/C6H12O4/c1-3-6(2,10)4(7)5(8)9/h4,7,10H,3H2,1-2H3,(H,8,9)/p-1/t4-,6+/s2
AuxInfo=1/1/N:9,8,6,7,10,5,2,3,4,1/E:(8,9)/rA:21OOO-OC.oCC.oCCCHHHHHHHHHHH/rB:;;;s1;s5;s2s5;s5;s6;s3d4s7;s6;s6;s7;s8;s8;s8;s9;s9;s9;s1;s2;/rC:4.0568,-1.3938,0;6.7243,1.6865,0;9.3919,.1463,0;8.058,-2.164,0;5.3906,-.6237,0;4.6206,.7099,0;6.7243,.1463,0;6.1606,-1.9576,0;3.0802,.7099,0;8.058,-.6237,0;5.5177,1.0366,0;4.4546,1.6505,0;7.5514,.6237,0;5.3336,-2.4351,0;6.6381,-2.7845,0;6.9875,-1.4801,0;3.0802,1.6649,0;2.1254,.7099,0;3.0802,-.2449,0;3.2297,-.9163,0;7.5514,2.164,0;
</t>
  </si>
  <si>
    <t xml:space="preserve">C06007</t>
  </si>
  <si>
    <t xml:space="preserve">25aics[c]</t>
  </si>
  <si>
    <t xml:space="preserve">SAICAR</t>
  </si>
  <si>
    <t xml:space="preserve">C13H15N4O12P</t>
  </si>
  <si>
    <t xml:space="preserve">InChI=1/C13H19N4O12P/c14-10-7(11(22)16-4(13(23)24)1-6(18)19)15-3-17(10)12-9(21)8(20)5(29-12)2-28-30(25,26)27/h3-5,8-9,12,20-21H,1-2,14H2,(H,16,22)(H,18,19)(H,23,24)(H2,25,26,27)/p-4/t4-,5+,8+,9+,12+/s2
AuxInfo=1/1/N:28,22,24,27,21,30,25,19,18,23,26,20,29,16,15,17,14,12,13,4,3,8,10,11,6,7,9,5,2,1/E:(18,19)(23,24)(25,26,27)/rA:45POOOOO-O-OOO-OO-ONNNNC.oC.eC.eC.eCCCCCC.eCCCHHHHHHHHHHHHHHH/rB:;;;s1;s1;s1;;d1;;;;;;;;;s3;s4s18;s2s14s18;s2s19;s5s21;s14s16;s14d-15;s15d-23;d8s17s25;s17;s27;s10d11s27;s12d13s28;s18;s19;s20;s21;s22;s22;s3;s4;s24;s16;s16;s17;s27;s28;s28;/rC:10.6122,-7.3942,0;7.7461,-3.5987,0;3.7897,-3.1229,0;4.825,-6.3093,0;9.7069,-6.1482,0;11.5173,-8.6402,0;11.858,-6.4891,0;9.7069,2.3012,0;9.3662,-8.2994,0;8.733,7.7679,0;6.2963,6.6829,0;12.4227,6.039,0;10.2646,7.6069,0;6.5001,-1.1534,0;5.7301,1.2163,0;9.2107,-.7241,0;7.549,3.8692,0;5.2543,-3.5987,0;5.7301,-5.0633,0;6.5001,-2.6934,0;7.2701,-5.0633,0;8.1754,-6.3093,0;7.7461,-.2483,0;5.2543,-.2483,0;7.2701,1.2163,0;8.1754,2.4623,0;8.4543,5.115,0;9.9857,4.9541,0;7.8279,6.5219,0;10.8911,6.1999,0;4.5791,-4.2739,0;6.1635,-5.9142,0;5.6495,-2.26,0;8.2133,-4.914,0;7.3173,-6.7278,0;8.4386,-7.227,0;3.08,-3.7617,0;5.2132,-7.1816,0;4.3463,-.5434,0;9.9202,-.0853,0;9.4093,-1.6582,0;6.5994,3.9689,0;8.8426,4.2427,0;9.7227,4.0363,0;10.8438,4.5354,0;
</t>
  </si>
  <si>
    <t xml:space="preserve">C04823</t>
  </si>
  <si>
    <t xml:space="preserve">26dap-LL[c]</t>
  </si>
  <si>
    <t xml:space="preserve">LL-2,6-Diaminoheptanedioate</t>
  </si>
  <si>
    <t xml:space="preserve">C7H14N2O4</t>
  </si>
  <si>
    <t xml:space="preserve">InChI=1/C7H14N2O4/c8-4(6(10)11)2-1-3-5(9)7(12)13/h4-5H,1-3,8-9H2,(H,10,11)(H,12,13)/t4-,5-/s2
AuxInfo=1/1/N:7,8,9,10,11,12,13,5,6,1,3,2,4/E:(2,3)(4,5)(6,7)(8,9)(10,11,12,13)/gE:(1,2)/rA:25O-O-OON+N+CCCC.eC.eCCHHHHHHHHHHHH/rB:;;;;;;s7;s7;s5s8;s6s9;s1d3s10;s2d4s11;s7;s7;s8;s8;s9;s9;s10;s11;s5;s5;s6;s6;/rC:3.9069,-4.1427,0;10.5756,2.7875,0;6.5744,-4.1427,0;9.2417,5.0975,0;3.9069,-1.0627,0;6.5744,3.5575,0;6.5744,.4775,0;6.5744,-1.0627,0;7.9081,1.2475,0;5.2407,-1.8327,0;7.9081,2.7875,0;5.2407,-3.3727,0;9.2417,3.5575,0;6.2477,1.3746,0;5.634,.3115,0;6.9009,-1.9598,0;7.5148,-.8967,0;8.2348,.3502,0;8.8484,1.4133,0;4.4137,-2.31,0;7.9081,3.7423,0;3.08,-1.54,0;3.9069,-.1079,0;5.7475,3.08,0;6.5744,4.5123,0;
</t>
  </si>
  <si>
    <t xml:space="preserve">C00666</t>
  </si>
  <si>
    <t xml:space="preserve">26dap-M[c]</t>
  </si>
  <si>
    <t xml:space="preserve">meso-2,6-Diaminoheptanedioate</t>
  </si>
  <si>
    <t xml:space="preserve">InChI=1/C7H14N2O4/c8-4(6(10)11)2-1-3-5(9)7(12)13/h4-5H,1-3,8-9H2,(H,10,11)(H,12,13)/t4-,5+
AuxInfo=1/1/N:7,9,8,11,10,12,13,5,6,1,3,2,4/E:(2,3)(4,5)(6,7)(8,9)(10,11,12,13)/gE:(1,2)/rA:25O-O-OON+N+CCCC.oC.eCCHHHHHHHHHHHH/rB:;;;;;;s7;s7;s6s8;s5s9;s1d3s11;s2d4s10;s7;s7;s8;s8;s9;s9;s11;s10;s5;s5;s6;s6;/rC:3.9069,-4.1427,0;10.5756,2.7875,0;6.5744,-4.1427,0;9.2417,5.0975,0;3.9069,-1.0627,0;6.5744,3.5575,0;6.5744,.4775,0;7.9081,1.2475,0;6.5744,-1.0627,0;7.9081,2.7875,0;5.2407,-1.8327,0;5.2407,-3.3727,0;9.2417,3.5575,0;6.2477,1.3746,0;5.634,.3115,0;8.2348,.3502,0;8.8484,1.4133,0;6.9009,-1.9598,0;7.5148,-.8967,0;4.4137,-2.31,0;7.9081,3.7423,0;3.08,-1.54,0;3.9069,-.1079,0;5.7475,3.08,0;6.5744,4.5123,0;
</t>
  </si>
  <si>
    <t xml:space="preserve">C00680</t>
  </si>
  <si>
    <t xml:space="preserve">2ahbut[c]</t>
  </si>
  <si>
    <t xml:space="preserve">S-2-aceto-2-hydroxybutanoate</t>
  </si>
  <si>
    <t xml:space="preserve">C6H9O4</t>
  </si>
  <si>
    <t xml:space="preserve">InChI=1/C6H10O4/c1-3-6(10,4(2)7)5(8)9/h10H,3H2,1-2H3,(H,8,9)/p-1/t6-/s2
AuxInfo=1/1/N:8,10,6,7,9,5,3,2,4,1/E:(8,9)/rA:19OO-OOC.eCCCCCHHHHHHHHH/rB:;;;s1;s5;d3s5;s6;s2d4s5;s7;s6;s6;s8;s8;s8;s10;s10;s10;s1;/rC:4.9775,1.5126,0;8.4149,.1786,0;4.4137,-2.1314,0;7.0812,2.4886,0;5.7475,.1786,0;6.5175,-1.1551,0;4.4137,-.5914,0;5.7475,-2.4886,0;7.0812,.9486,0;3.08,.1786,0;7.249,-1.7687,0;7.249,-.5413,0;4.9205,-2.0113,0;5.27,-3.3158,0;6.5744,-2.9661,0;3.5575,1.0056,0;2.2533,.6561,0;2.6027,-.6483,0;5.4548,2.3393,0;
</t>
  </si>
  <si>
    <t xml:space="preserve">C06006</t>
  </si>
  <si>
    <t xml:space="preserve">2ahhmd[c]</t>
  </si>
  <si>
    <t xml:space="preserve">7,8-Dihydropterin_pyrophosphate</t>
  </si>
  <si>
    <t xml:space="preserve">C7H8N5O8P2</t>
  </si>
  <si>
    <t xml:space="preserve">InChI=1S/C7H11N5O8P2/c8-7-11-5-4(6(13)12-7)10-3(1-9-5)2-19-22(17,18)20-21(14,15)16/h1-2H2,(H,17,18)(H2,14,15,16)(H4,8,9,11,12,13)/p-3
AuxInfo=1/1/N:16,19,17,20,18,21,22,15,11,12,13,14,6,8,9,10,5,7,3,4,2,1/E:(14,15,16)(17,18)/rA:30PPOOO-OOO-O-ONNNNNCCCCCCCHHHHHHHH/rB:;s1;s1s2;s1;;d1;s2;s2;d2;;;;;;s11;d-12s16;s11s13;s3s17;s12d-18;d6s14s20;s13d-14s15;s16;s16;s11;s19;s19;s13;s15;s15;/rC:14.6781,.9818,0;17.3454,.9921,0;13.3474,.2067,0;16.0087,1.757,0;15.4532,-.3488,0;6.5743,2.4743,0;13.9029,2.3125,0;18.682,.2273,0;18.1102,2.3288,0;16.5805,-.3445,0;9.2847,-2.199,0;9.2847,.9878,0;6.5743,-2.1457,0;5.2406,.1643,0;3.9068,-2.1457,0;10.68,-1.4077,0;10.68,.1964,0;7.9079,-1.3757,0;12.0107,.9716,0;7.9079,.1643,0;6.5743,.9343,0;5.2406,-1.3757,0;11.002,-2.3066,0;11.6207,-1.2443,0;9.2736,-3.1538,0;12.6216,1.7054,0;11.3942,1.7006,0;6.5743,-3.1005,0;3.08,-1.6683,0;3.9068,-3.1005,0;
</t>
  </si>
  <si>
    <t xml:space="preserve">C04807</t>
  </si>
  <si>
    <t xml:space="preserve">2cpr5p[c]</t>
  </si>
  <si>
    <t xml:space="preserve">1-2-Carboxyphenylamino-1-deoxy-D-ribulose_5-phosphate</t>
  </si>
  <si>
    <t xml:space="preserve">C12H13NO9P</t>
  </si>
  <si>
    <t xml:space="preserve">InChI=1/C12H16NO9P/c14-9(11(16)10(15)6-22-23(19,20)21)5-13-8-4-2-1-3-7(8)12(17)18/h1-4,10-11,13,15-16H,5-6H2,(H,17,18)(H2,19,20,21)/p-3/t10-,11+/s2
AuxInfo=1/1/N:22,21,20,19,16,15,18,17,14,13,12,23,11,5,3,2,9,10,6,7,8,4,1/E:(17,18)(19,20,21)/rA:36POOOOO-O-OO-ONC.oC.eCCCCCCCCCCHHHHHHHHHHHHH/rB:;;s1;;s1;s1;d1;;;;s2;s3s12;d5s12;s4s13;s11s14;s11;d+17;s17;s18;d-19;d-20s21;s9d10s18;s12;s13;s15;s15;s16;s16;s11;s3;s2;s19;s20;s21;s22;/rC:13.2429,5.2978,0;11.9091,-.0924,0;9.2417,2.9876,0;11.9091,4.5278,0;7.9081,.6776,0;14.5766,6.0678,0;12.4729,6.6313,0;14.0129,3.9641,0;3.9069,-4.7126,0;5.2407,-2.4024,0;7.9081,-2.4024,0;10.5756,.6776,0;10.5756,2.2176,0;9.2417,-.0924,0;11.9091,2.9876,0;9.2417,-1.6324,0;7.9081,-3.9424,0;6.5744,-4.7126,0;9.2417,-4.7126,0;6.5744,-6.2526,0;9.2417,-6.2526,0;7.9081,-7.0226,0;5.2407,-3.9424,0;11.4023,1.1551,0;9.7485,1.7403,0;12.2358,2.0905,0;12.8496,3.1535,0;9.5683,-2.5297,0;10.1821,-1.4666,0;7.0812,-1.9251,0;9.2417,3.9424,0;12.7361,.3851,0;10.0688,-4.2351,0;5.7475,-6.7299,0;10.0688,-6.7299,0;7.9081,-7.9774,0;
</t>
  </si>
  <si>
    <t xml:space="preserve">C01302</t>
  </si>
  <si>
    <t xml:space="preserve">2dda7p[c]</t>
  </si>
  <si>
    <t xml:space="preserve">2-Dehydro-3-deoxy-D-arabino-heptonate_7-phosphate</t>
  </si>
  <si>
    <t xml:space="preserve">C7H10O10P</t>
  </si>
  <si>
    <t xml:space="preserve">InChI=1/C7H13O10P/c8-3(1-4(9)7(12)13)6(11)5(10)2-17-18(14,15)16/h3,5-6,8,10-11H,1-2H2,(H,12,13)(H2,14,15,16)/p-3/t3-,5-,6+/s2
AuxInfo=1/1/N:15,16,13,17,14,12,18,3,6,4,2,10,11,7,8,9,5,1/E:(12,13)(14,15,16)/rA:18POOOOOO-O-OO-OC.oC.oC.oCCCC/rB:;;;s1;;s1;s1;d1;;;s2;s3s12;s4s12;s13;s5s14;d6s15;s10d11s17;/rC:5.2401,-.3851,0;10.5747,-1.9249,0;11.908,1.9249,0;9.2407,1.9249,0;6.5738,.3851,0;14.5753,1.9249,0;3.9066,-1.1549,0;4.4703,.9486,0;6.0101,-1.7185,0;17.2426,.3851,0;15.9089,-1.9249,0;10.5747,-.3851,0;11.908,.3851,0;9.2407,.3851,0;13.2418,-.3851,0;7.9074,-.3851,0;14.5753,.3851,0;15.9089,-.3851,0;
</t>
  </si>
  <si>
    <t xml:space="preserve">C04691</t>
  </si>
  <si>
    <t xml:space="preserve">2ddg6p[c]</t>
  </si>
  <si>
    <t xml:space="preserve">2-Dehydro-3-deoxy-D-gluconate_6-phosphate</t>
  </si>
  <si>
    <t xml:space="preserve">C6H8O9P</t>
  </si>
  <si>
    <t xml:space="preserve">InChI=1/C6H11O9P/c7-3(1-4(8)6(10)11)5(9)2-15-16(12,13)14/h3,5,7,9H,1-2H2,(H,10,11)(H2,12,13,14)/p-3
AuxInfo=1/1/N:13,14,11,15,12,16,2,5,3,9,10,6,7,8,4,1/E:(10,11)(12,13,14)/rA:24POOOOO-O-OO-OCCCCCCHHHHHHHH/rB:;;s1;;s1;s1;d1;;;s2;s3s11;s11;s4s12;d5s13;s9d10s15;s11;s12;s13;s13;s14;s14;s3;s2;/rC:5.2407,-.3851,0;10.5756,-1.9251,0;9.2417,1.9251,0;6.5744,.3851,0;13.2429,-1.9251,0;3.9069,-1.1551,0;4.4707,.9486,0;6.0107,-1.7186,0;15.9103,-.3851,0;14.5766,1.9251,0;10.5756,-.3851,0;9.2417,.3851,0;11.9091,.3851,0;7.9081,-.3851,0;13.2429,-.3851,0;14.5766,.3851,0;9.7485,-.8624,0;10.0688,.8624,0;12.5229,1.1165,0;11.2956,1.1165,0;7.2944,-1.1165,0;8.5217,-1.1165,0;10.0688,2.4024,0;11.4023,-2.4024,0;
</t>
  </si>
  <si>
    <t xml:space="preserve">C04442</t>
  </si>
  <si>
    <t xml:space="preserve">2dhp[c]</t>
  </si>
  <si>
    <t xml:space="preserve">2-Dehydropantoate</t>
  </si>
  <si>
    <t xml:space="preserve">InChI=1S/C6H10O4/c1-6(2,3-7)4(8)5(9)10/h7H,3H2,1-2H3,(H,9,10)/p-1
AuxInfo=1/1/N:7,8,6,9,10,5,1,2,3,4/E:(1,2)(9,10)/rA:19OOO-OCCCCCCHHHHHHHHH/rB:;;;;s1s5;s5;s5;d2s5;s3d4s9;s6;s6;s7;s7;s7;s8;s8;s8;s1;/rC:3.9069,-.3851,0;7.9081,1.9251,0;10.5756,.3851,0;9.2417,-1.9251,0;6.5744,-.3851,0;5.2407,-1.1551,0;5.8044,.9486,0;7.3444,-1.7186,0;7.9081,.3851,0;9.2417,-.3851,0;4.6269,-1.8865,0;5.8544,-1.8865,0;6.6311,1.4261,0;5.3269,1.7756,0;4.9775,.4713,0;6.5175,-2.1961,0;7.8219,-2.5458,0;8.1713,-1.2413,0;3.08,-.8624,0;
</t>
  </si>
  <si>
    <t xml:space="preserve">C00966</t>
  </si>
  <si>
    <t xml:space="preserve">2dhpp[c]</t>
  </si>
  <si>
    <t xml:space="preserve">2,5-Diamino-6-hydroxy-4-5'-phosphoribosylaminopyrimidine</t>
  </si>
  <si>
    <t xml:space="preserve">C9H15N5O8P</t>
  </si>
  <si>
    <t xml:space="preserve">InChI=1S/C9H16N5O8P/c10-1-5(13-9(11)14-6(1)17)12-7-3(16)2(15)4(22-7)8(18)23(19,20)21/h2-4,7-8,15-16,18H,10H2,(H2,19,20,21)(H4,11,12,13,14,17)/p-1/t2-,3+,4-,7?,8?/m0/s1
AuxInfo=1/1/N:1,15,13,10,2,6,12,9,4,23,22,7,3,5,16,14,21,8,18,19,20,11,17/E:(19,20,21)/it:im/rA:23CCNCNCNOCC.oOCC.eOC.eOPOOO-ONN/rB:d-1;s2;d-3;s4;s1d-5;s2;;s8;s9;s10;s7s11;s12;s13;s10s13;s15;s9;d17;s17;s17;s6;s4;s1;/rC:-5.1667,-4.3579,0;-4.5405,-5.7646,0;-5.4456,-7.0106,0;-6.9772,-6.8497,0;-7.6035,-5.4428,0;-6.6983,-4.1968,0;-3.0089,-5.9257,0;-2.6673,0,0;-1.3337,-.77,0;-1.3337,-2.31,0;-2.5795,-3.2151,0;-2.1037,-4.6797,0;-.5637,-4.6797,0;.3416,-5.9257,0;-.0877,-3.2151,0;1.3769,-2.7393,0;;1.3337,.77,0;-.77,1.3337,0;.77,-1.3337,0;-7.3248,-2.7901,0;-7.8824,-8.0955,0;-4.2616,-3.1119,0;
</t>
  </si>
  <si>
    <t xml:space="preserve">C01304</t>
  </si>
  <si>
    <t xml:space="preserve">2h3kto5me1pe[c]</t>
  </si>
  <si>
    <t xml:space="preserve">2-hydroxy-3-keto-5-methylthio-1-phosphopentene</t>
  </si>
  <si>
    <t xml:space="preserve">C6H9O6PS</t>
  </si>
  <si>
    <t xml:space="preserve">InChI=1S/C6H11O5PS/c1-13-3-2-5(7)6(8)4-12(9,10)11/h4,8H,2-3H2,1H3,(H2,9,10,11)/p-1/b6-4-
AuxInfo=1/1/N:11,4,5,1,3,2,12,13,7,8,9,6,10/E:(9,10,11)/rA:13CCCCCPOOO-SCOO/rB:d+1;s2;s3;s4;s1;d6;s6;s6;s5;s10;d3;s2;/rC:-1.691,2.1037,0;-.3573,1.3337,0;.9763,2.1037,0;2.31,1.3337,0;3.6437,2.1037,0;-3.0247,1.3337,0;-4.3585,.5637,0;-2.2547,0,0;-3.7947,2.6673,0;4.9773,1.3337,0;6.311,2.1037,0;.9763,3.6437,0;-.3573,-.2063,0;
</t>
  </si>
  <si>
    <t xml:space="preserve">2h3oppan[c]</t>
  </si>
  <si>
    <t xml:space="preserve">Tartronate_semialdehyde</t>
  </si>
  <si>
    <t xml:space="preserve">C3H3O4</t>
  </si>
  <si>
    <t xml:space="preserve">InChI=1/C3H4O4/c4-1-2(5)3(6)7/h1-2,5H,(H,6,7)/p-1
AuxInfo=1/1/N:7,5,6,4,1,2,3/E:(6,7)/rA:10OO-OOCCCHHH/rB:;;;s1;s2d3s5;d4s5;s5;s7;s1;/rC:5.7475,-1.6863,0;8.4149,-.1463,0;7.0812,2.1638,0;3.08,-.1463,0;5.7475,-.1463,0;7.0812,.6237,0;4.4137,.6237,0;6.8811,-.8008,0;4.4137,1.5785,0;6.5744,-2.1638,0;
</t>
  </si>
  <si>
    <t xml:space="preserve">C01146</t>
  </si>
  <si>
    <t xml:space="preserve">2kmb[c]</t>
  </si>
  <si>
    <t xml:space="preserve">2-keto-4-methylthiobutyrate</t>
  </si>
  <si>
    <t xml:space="preserve">C5H7O3S</t>
  </si>
  <si>
    <t xml:space="preserve">InChI=1S/C5H8O3S/c1-9-3-2-4(6)5(7)8/h2-3H2,1H3,(H,7,8)/p-1
AuxInfo=1/1/N:1,2,3,4,5,6,7,8,9/E:(7,8)/rA:9CCCCCOO-OS/rB:;s2;s2;s4;d4;s5;d5;s1s3;/rC:-1.3337,.77,0;2.6673,0,0;1.3337,.77,0;4.001,.77,0;5.3347,0,0;4.001,2.31,0;6.6685,.77,0;5.3347,-1.54,0;;
</t>
  </si>
  <si>
    <t xml:space="preserve">2mahmp[c]</t>
  </si>
  <si>
    <t xml:space="preserve">2-Methyl-4-amino-5-hydroxymethylpyrimidine_diphosphate</t>
  </si>
  <si>
    <t xml:space="preserve">C6H8N3O7P2</t>
  </si>
  <si>
    <t xml:space="preserve">InChI=1S/C6H11N3O7P2/c1-4-8-2-5(6(7)9-4)3-15-18(13,14)16-17(10,11)12/h2H,3H2,1H3,(H,13,14)(H2,7,8,9)(H2,10,11,12)/p-2
AuxInfo=1/1/N:18,16,14,17,13,15,12,11,10,7,8,9,5,6,3,4,2,1/E:(10,11,12)(13,14)/rA:27PPOOO-OOO-ONNNCCCCCCHHHHHHHHH/rB:;s1;s1s2;s1;d1;s2;s2;d2;;;;;s3s13;d+10s12s13;s11d+13;s10d-11;s17;s14;s14;s16;s12;s12;s18;s18;s18;s7;/rC:6.4312,1.0087,0;5.0975,3.3187,0;7.7648,.2387,0;5.0975,1.7787,0;7.2012,2.3425,0;5.6612,-.325,0;5.0975,4.8587,0;3.5575,3.3187,0;6.6375,3.3187,0;10.4324,-4.3814,0;11.766,-2.0713,0;7.7648,-4.3814,0;9.0987,-2.0713,0;7.7648,-1.3013,0;9.0987,-3.6114,0;10.4324,-1.3013,0;11.766,-3.6114,0;13.0999,-4.3814,0;6.8247,-1.1355,0;7.4383,-2.1986,0;10.4324,-.3465,0;7.7648,-5.3362,0;6.938,-3.9039,0;12.6224,-5.2082,0;13.9266,-4.8587,0;13.5772,-3.5545,0;4.2707,5.3362,0;
</t>
  </si>
  <si>
    <t xml:space="preserve">C04752</t>
  </si>
  <si>
    <t xml:space="preserve">2me4p[c]</t>
  </si>
  <si>
    <t xml:space="preserve">2-C-Methyl-D-erythritol_4-phosphate</t>
  </si>
  <si>
    <t xml:space="preserve">C5H11O7P</t>
  </si>
  <si>
    <t xml:space="preserve">InChI=1/C5H13O7P/c1-5(8,3-6)4(7)2-12-13(9,10)11/h4,6-8H,2-3H2,1H3,(H2,9,10,11)/p-2/t4-,5+/s2
AuxInfo=1/1/N:13,12,11,10,9,5,3,2,6,7,8,4,1/E:(9,10,11)/rA:24POOOOO-O-OC.oC.eCCCHHHHHHHHHHH/rB:;;s1;;s1;s1;d1;s2;s3s9;s5s9;s4s10;s9;s10;s11;s11;s12;s12;s13;s13;s13;s2;s3;s5;/rC:11.9091,-.7269,0;5.8044,.6069,0;7.9081,1.5831,0;10.5756,.0431,0;3.9069,-.7269,0;13.2429,-1.4969,0;12.6793,.6069,0;11.1391,-2.0606,0;6.5744,-.7269,0;7.9081,.0431,0;5.2407,-1.4969,0;9.2417,-.7269,0;7.3444,-2.0606,0;8.7351,.5206,0;4.6269,-2.2282,0;5.8544,-2.2282,0;8.6281,-1.4582,0;9.8556,-1.4582,0;6.5175,-2.5379,0;7.8219,-2.8875,0;8.1713,-1.5831,0;4.8496,.6069,0;8.7351,2.0606,0;3.08,-1.2044,0;
</t>
  </si>
  <si>
    <t xml:space="preserve">C11434</t>
  </si>
  <si>
    <t xml:space="preserve">2mecdp[c]</t>
  </si>
  <si>
    <t xml:space="preserve">2-C-Methyl-D-erythritol_2,4-cyclodiphosphate</t>
  </si>
  <si>
    <t xml:space="preserve">C5H10O9P2</t>
  </si>
  <si>
    <t xml:space="preserve">InChI=1/C5H12O9P2/c1-5(3-6)4(7)2-12-15(8,9)14-16(10,11)13-5/h4,6-7H,2-3H2,1H3,(H,8,9)(H,10,11)/p-2/t4-,5+/s2
AuxInfo=1/1/N:16,15,14,13,12,7,5,10,11,8,9,4,3,6,2,1/E:(8,9)(10,11)/rA:26PPOOOOOO-OO-OC.oC.eCCCHHHHHHHHHH/rB:;s1;s2;;s1s2;;s1;d1;s2;d2;s3;s5s12;s7s12;s4s13;s12;s13;s14;s14;s15;s15;s16;s16;s16;s5;s7;/rC:7.2565,-1.2387,0;8.3453,1.3901,0;5.7163,-1.2387,0;7.2565,2.4791,0;3.2047,1.9796,0;8.3453,-.1499,0;3.937,-2.7263,0;8.3453,-2.3277,0;7.2565,-2.7787,0;9.4343,2.4791,0;9.8853,1.3901,0;4.6275,-.1499,0;4.6275,1.3901,0;3.5385,-1.2387,0;5.7163,2.4791,0;3.0875,-.1499,0;4.4412,2.3266,0;2.9908,-.4566,0;2.6731,-1.6423,0;5.9636,3.4014,0;4.8895,2.9566,0;3.0875,.8049,0;2.1327,-.1499,0;3.0875,-1.1047,0;3.08,2.9262,0;3.2618,-3.4014,0;
</t>
  </si>
  <si>
    <t xml:space="preserve">C11453</t>
  </si>
  <si>
    <t xml:space="preserve">2obut[c]</t>
  </si>
  <si>
    <t xml:space="preserve">2-Oxobutyrate</t>
  </si>
  <si>
    <t xml:space="preserve">C4H5O3</t>
  </si>
  <si>
    <t xml:space="preserve">InChI=1S/C4H6O3/c1-2-3(5)4(6)7/h2H2,1H3,(H,6,7)/p-1
AuxInfo=1/1/N:5,4,6,7,1,2,3/E:(6,7)/rA:12OO-OCCCCHHHHH/rB:;;;s4;d1s4;s2d3s6;s4;s4;s5;s5;s5;/rC:5.7469,-1.9249,0;8.4142,-.3851,0;7.0806,1.9249,0;4.4134,.3851,0;3.0796,-.3851,0;5.7469,-.3851,0;7.0806,.3851,0;5.0273,1.1163,0;3.7996,1.1163,0;2.6025,.4418,0;2.2531,-.8624,0;3.5571,-1.2117,0;
</t>
  </si>
  <si>
    <t xml:space="preserve">C00109</t>
  </si>
  <si>
    <t xml:space="preserve">2ohph[c]</t>
  </si>
  <si>
    <t xml:space="preserve">2-Octaprenyl-6-hydroxyphenol</t>
  </si>
  <si>
    <t xml:space="preserve">C46H70O2</t>
  </si>
  <si>
    <t xml:space="preserve">InChI=1S/C46H70O2/c1-36(2)18-10-19-37(3)20-11-21-38(4)22-12-23-39(5)24-13-25-40(6)26-14-27-41(7)28-15-29-42(8)30-16-31-43(9)34-35-44-32-17-33-45(47)46(44)48/h17-18,20,22,24,26,28,30,32-34,47-48H,10-16,19,21,23,25,27,29,31,35H2,1-9H3/b37-20+,38-22+,39-24+,40-26+,41-28+,42-30+,43-34+
AuxInfo=1/0/N:44,45,36,32,28,26,29,33,38,34,20,9,5,7,13,22,47,39,30,25,14,21,6,16,3,15,4,19,11,24,23,43,48,35,37,41,27,17,10,8,12,18,31,40,46,42,2,1/E:(1,2)/rA:118OOCCCCCCCCCCCCCCCCCCCCCCCCCCCCCCCCCCCCCCCCCCCCCCHHHHHHHHHHHHHHHHHHHHHHHHHHHHHHHHHHHHHHHHHHHHHHHHHHHHHHHHHHHHHHHHHHHHHH/rB:;;;s3;;s4;s3;s6;s6;;s4;s11;;s7d+8;s5d+10;s14;s11;d+12s13;s14;s9d+17;;s22;d+18s22;s20;s8;d+25;s10;s12;s27;s23;s17;s18;s30;d+31;s27;s35;s31;s34;s37;d+39;s1d-40;s40;s41;s41;s2s42;d-43;d+46s47;s3;s3;s4;s4;s5;s5;s6;s6;s7;s7;s9;s9;s11;s11;s13;s13;s14;s14;s15;s16;s19;s20;s20;s21;s22;s22;s23;s23;s24;s25;s26;s26;s26;s28;s28;s28;s29;s29;s29;s30;s30;s32;s32;s32;s33;s33;s33;s34;s34;s35;s36;s36;s36;s37;s37;s38;s38;s38;s39;s43;s44;s44;s44;s45;s45;s45;s47;s48;s1;s2;/rC:47.0925,2.0713,0;49.7599,.5313,0;24.4194,-.2387,0;29.7543,-.2387,0;23.0858,.5313,0;19.0846,-.2387,0;28.4206,.5313,0;25.7531,.5313,0;17.7509,.5313,0;20.4182,.5313,0;35.089,-.2387,0;31.0878,.5313,0;33.7553,.5313,0;13.7497,-.2387,0;27.0868,-.2387,0;21.7521,-.2387,0;15.0834,.5313,0;36.4228,.5313,0;32.4218,-.2387,0;12.4161,.5313,0;16.4171,-.2387,0;39.0902,.5313,0;40.424,-.2387,0;37.7565,-.2387,0;11.0824,-.2387,0;25.7531,2.0713,0;9.7485,.5313,0;20.4182,2.0713,0;31.0878,2.0713,0;8.4149,-.2387,0;41.7575,.5313,0;15.0834,2.0713,0;36.4228,2.0713,0;7.0812,.5313,0;43.0914,-.2387,0;9.7485,2.0713,0;44.425,.5313,0;41.7575,2.0713,0;5.7475,-.2387,0;45.7587,-.2387,0;4.4137,.5313,0;47.0925,.5313,0;45.7587,-1.7787,0;3.08,-.2387,0;4.4137,2.0713,0;48.4262,-.2387,0;47.0925,-2.5487,0;48.4262,-1.7787,0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11.0824,-1.1935,0;26.7079,2.0713,0;25.7531,3.0262,0;24.7983,2.0713,0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10.7035,2.0713,0;9.7485,3.0262,0;8.7937,2.0713,0;45.0387,1.2626,0;43.8114,1.2626,0;42.7123,2.0713,0;41.7575,3.0262,0;40.8027,2.0713,0;5.7475,-1.1935,0;44.9318,-2.2562,0;2.6027,.5882,0;2.2533,-.7161,0;3.5575,-1.0655,0;5.3685,2.0713,0;4.4137,3.0262,0;3.4589,2.0713,0;47.0925,-3.5035,0;49.2531,-2.2562,0;47.9194,2.5487,0;50.5867,.0539,0;
</t>
  </si>
  <si>
    <t xml:space="preserve">C05811</t>
  </si>
  <si>
    <t xml:space="preserve">2ombz[c]</t>
  </si>
  <si>
    <t xml:space="preserve">2-octaprenyl-6-methoxy-1,4-benzoquinone</t>
  </si>
  <si>
    <t xml:space="preserve">C47H70O3</t>
  </si>
  <si>
    <t xml:space="preserve">InChI=1S/C46H68O3/c1-10-11-12-19-36(2)20-13-21-37(3)22-14-23-38(4)24-15-25-39(5)26-16-27-40(6)28-17-29-41(7)30-18-31-42(8)32-33-43-34-44(47)35-45(49-9)46(43)48/h10-11,20,22,24,26,28,30,32,34-35H,12-19,21,23,25,27,29,31,33H2,1-9H3/b11-10+,36-20+,37-22+,38-24+,39-26+,40-28+,41-30+,42-32+
AuxInfo=1/0/N:1,49,48,47,46,45,44,31,42,2,3,4,8,12,16,20,24,28,5,7,9,11,13,15,17,19,21,23,25,27,29,32,33,39,37,6,10,14,18,22,26,30,34,38,36,35,40,43,41/rA:49CCCCCCCCCCCCCCCCCCCCCCCCCCCCCCCCCCCCCCCOOCOCCCCCC/rB:s1;d+2;s3;s4;s5;d+6;s7;s8;s9;d+10;s11;s12;s13;d+14;s15;s16;s17;d+18;s19;s20;s21;d+22;s23;s24;s25;d+26;s27;s28;s29;s30;d+30;s32;s33;s34;s35;d-36;s37;d+34s38;d38;s36;s41;d35;s26;s22;s18;s14;s10;s6;/rC:-20.0053,39.27,0;-18.6715,38.5,0;-18.6715,36.96,0;-17.3378,36.19,0;-17.3378,34.65,0;-16.0042,33.88,0;-16.0042,32.34,0;-14.6705,31.57,0;-14.6705,30.03,0;-13.3368,29.26,0;-13.3368,27.72,0;-12.003,26.95,0;-12.003,25.41,0;-10.6695,24.64,0;-10.6695,23.1,0;-9.3358,22.33,0;-9.3358,20.79,0;-8.002,20.02,0;-8.002,18.48,0;-6.6685,17.71,0;-6.6685,16.17,0;-5.3347,15.4,0;-5.3347,13.86,0;-4.001,13.09,0;-4.001,11.55,0;-2.6673,10.78,0;-2.6673,9.24,0;-1.3337,8.47,0;-1.3337,6.93,0;0,6.16,0;1.3337,6.93,0;0,4.62,0;1.3337,3.85,0;1.3337,2.31,0;2.6673,1.54,0;2.6673,0,0;1.3337,-.77,0;;0,1.54,0;-1.3337,-.77,0;4.001,-.77,0;5.3347,0,0;4.001,2.31,0;-1.3337,11.55,0;-4.001,16.17,0;-6.6685,20.79,0;-9.3358,25.41,0;-12.003,30.03,0;-14.6705,34.65,0;
</t>
  </si>
  <si>
    <t xml:space="preserve">C05813</t>
  </si>
  <si>
    <t xml:space="preserve">2ommb[c]</t>
  </si>
  <si>
    <t xml:space="preserve">2-octaprenyl-3-methyl-6-methoxy-1,4-benzoquinone</t>
  </si>
  <si>
    <t xml:space="preserve">C48H74O3</t>
  </si>
  <si>
    <t xml:space="preserve">InChI=1S/C48H74O3/c1-36(2)19-12-20-37(3)21-13-22-38(4)23-14-24-39(5)25-15-26-40(6)27-16-28-41(7)29-17-30-42(8)31-18-32-43(9)33-34-45-44(10)46(49)35-47(51-11)48(45)50/h19,21,23,25,27,29,31,33,35,49-50H,12-18,20,22,24,26,28,30,32,34H2,1-11H3/b37-21+,38-23+,39-25+,40-27+,41-29+,42-31+,43-33+
AuxInfo=1/0/N:1,3,8,13,18,23,28,33,38,43,49,5,10,15,20,25,30,35,4,6,9,11,14,16,19,21,24,26,29,31,34,36,39,40,46,2,7,12,17,22,27,32,37,42,41,44,47,50,45,51,48/E:(1,2)/rA:51CCCCCCCCCCCCCCCCCCCCCCCCCCCCCCCCCCCCCCCCCCCCOCCOCCO/rB:s1;s2;d+2;s4;s5;s6;s7;d+7;s9;s10;s11;s12;d+12;s14;s15;s16;s17;d+17;s19;s20;s21;s22;d+22;s24;s25;s26;s27;d+27;s29;s30;s31;s32;d+32;s34;s35;s36;s37;d+37;s39;s40;d-41;s42;s42;s44;d-44;s46;s47;s48;s41d-47;s50;/rC:17.8608,19.3405,0;16.5271,18.5705,0;16.5271,17.0305,0;15.1935,19.3405,0;13.8598,18.5705,0;12.5261,19.3405,0;11.1925,18.5705,0;11.1925,17.0305,0;9.8588,19.3405,0;8.5251,18.5705,0;7.1913,19.3405,0;5.8578,18.5705,0;5.8578,17.0305,0;4.5241,19.3405,0;3.1903,18.5705,0;1.8568,19.3405,0;.523,18.5705,0;.523,17.0305,0;-.8107,19.3405,0;-2.1444,18.5705,0;-3.478,19.3405,0;-4.8117,18.5705,0;-4.8117,17.0305,0;-6.1454,19.3405,0;-7.479,18.5705,0;-8.8127,19.3405,0;-10.1465,18.5705,0;-10.1465,17.0305,0;-11.4802,19.3405,0;-12.8137,18.5705,0;-14.1475,19.3405,0;-15.4812,18.5705,0;-15.4812,17.0305,0;-16.8147,19.3405,0;-18.1485,18.5705,0;-19.4822,19.3405,0;-20.8159,18.5705,0;-22.1495,19.3405,0;-20.8159,17.0305,0;-22.1495,16.2605,0;-22.1495,14.7205,0;-20.8159,13.9505,0;-19.4822,14.7205,0;-20.8159,12.4105,0;-19.4822,11.6405,0;-22.1495,11.6405,0;-23.4832,12.4105,0;-24.817,11.6405,0;-24.817,10.1005,0;-23.4832,13.9505,0;-24.817,14.7205,0;
</t>
  </si>
  <si>
    <t xml:space="preserve">C05814</t>
  </si>
  <si>
    <t xml:space="preserve">2omph[c]</t>
  </si>
  <si>
    <t xml:space="preserve">2-Octaprenyl-6-methoxyphenol</t>
  </si>
  <si>
    <t xml:space="preserve">C47H72O2</t>
  </si>
  <si>
    <t xml:space="preserve">InChI=1S/C47H72O2/c1-37(2)19-11-20-38(3)21-12-22-39(4)23-13-24-40(5)25-14-26-41(6)27-15-28-42(7)29-16-30-43(8)31-17-32-44(9)35-36-45-33-18-34-46(49-10)47(45)48/h18-19,21,23,25,27,29,31,33-35,48H,11-17,20,22,24,26,28,30,32,36H2,1-10H3/b38-21+,39-23+,40-25+,41-27+,42-29+,43-31+,44-35+
AuxInfo=1/0/N:45,46,37,32,28,25,29,33,38,49,34,20,9,5,7,12,22,47,40,30,26,14,21,6,16,3,15,4,19,11,24,23,43,48,35,36,41,27,17,10,8,13,18,31,39,44,42,1,2/E:(1,2)/rA:121OOCCCCCCCCCCCCCCCCCCCCCCCCCCCCCCCCCCCCCCCCCCCCCCCHHHHHHHHHHHHHHHHHHHHHHHHHHHHHHHHHHHHHHHHHHHHHHHHHHHHHHHHHHHHHHHHHHHHHHHH/rB:;;;s3;;s4;s3;s6;s6;;s11;s4;;s7d+8;s5d+10;s14;s11;s12d+13;s14;s9d+17;;s22;d+18s22;s8;s20;d+26;s10;s13;s27;s23;s17;s18;s30;d+31;s35;s27;s31;s36;s34;d+40;s1d-39;s39;s2s42;s41;s41;d-43;d+44s47;s2;s3;s3;s4;s4;s5;s5;s6;s6;s7;s7;s9;s9;s11;s11;s12;s12;s14;s14;s15;s16;s19;s20;s20;s21;s22;s22;s23;s23;s24;s25;s25;s25;s26;s28;s28;s28;s29;s29;s29;s30;s30;s32;s32;s32;s33;s33;s33;s34;s34;s35;s36;s36;s37;s37;s37;s38;s38;s38;s40;s43;s45;s45;s45;s46;s46;s46;s47;s48;s1;s49;s49;s49;/rC:47.0925,2.0713,0;49.7599,.5313,0;24.4194,-.2387,0;29.7543,-.2387,0;23.0858,.5313,0;19.0846,-.2387,0;28.4206,.5313,0;25.7531,.5313,0;17.7509,.5313,0;20.4182,.5313,0;35.089,-.2387,0;33.7553,.5313,0;31.0878,.5313,0;13.7497,-.2387,0;27.0868,-.2387,0;21.7521,-.2387,0;15.0834,.5313,0;36.4228,.5313,0;32.4218,-.2387,0;12.4161,.5313,0;16.4171,-.2387,0;39.0902,.5313,0;40.424,-.2387,0;37.7565,-.2387,0;25.7531,2.0713,0;11.0824,-.2387,0;9.7485,.5313,0;20.4182,2.0713,0;31.0878,2.0713,0;8.4149,-.2387,0;41.7575,.5313,0;15.0834,2.0713,0;36.4228,2.0713,0;7.0812,.5313,0;43.0914,-.2387,0;44.425,.5313,0;9.7485,2.0713,0;41.7575,2.0713,0;45.7587,-.2387,0;5.7475,-.2387,0;4.4137,.5313,0;47.0925,.5313,0;45.7587,-1.7787,0;48.4262,-.2387,0;3.08,-.2387,0;4.4137,2.0713,0;47.0925,-2.5487,0;48.4262,-1.7787,0;51.0935,-.2387,0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26.7079,2.0713,0;25.7531,3.0262,0;24.7983,2.0713,0;11.0824,-1.1935,0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45.0387,1.2626,0;43.8114,1.2626,0;10.7035,2.0713,0;9.7485,3.0262,0;8.7937,2.0713,0;42.7123,2.0713,0;41.7575,3.0262,0;40.8027,2.0713,0;5.7475,-1.1935,0;44.9318,-2.2562,0;2.6027,.5882,0;2.2533,-.7161,0;3.5575,-1.0655,0;5.3685,2.0713,0;4.4137,3.0262,0;3.4589,2.0713,0;47.0925,-3.5035,0;49.2531,-2.2562,0;47.9194,2.5487,0;50.6162,-1.0655,0;51.9204,-.7161,0;51.571,.5882,0;
</t>
  </si>
  <si>
    <t xml:space="preserve">C05812</t>
  </si>
  <si>
    <t xml:space="preserve">2oph[c]</t>
  </si>
  <si>
    <t xml:space="preserve">2-Octaprenylphenol</t>
  </si>
  <si>
    <t xml:space="preserve">C46H70O</t>
  </si>
  <si>
    <t xml:space="preserve">InChI=1S/C46H70O/c1-37(2)19-12-20-38(3)21-13-22-39(4)23-14-24-40(5)25-15-26-41(6)27-16-28-42(7)29-17-30-43(8)31-18-32-44(9)35-36-45-33-10-11-34-46(45)47/h10-11,19,21,23,25,27,29,31,33-35,47H,12-18,20,22,24,26,28,30,32,36H2,1-9H3/b38-21+,39-23+,40-25+,41-27+,42-29+,43-31+,44-35+
AuxInfo=1/0/N:43,44,35,31,27,25,28,32,37,46,47,33,19,8,4,6,11,21,38,29,24,13,20,5,15,2,14,3,17,12,23,22,42,45,34,36,40,26,16,9,7,10,18,30,39,41,1/E:(1,2)/rA:117OCCCCCCCCCCCCCCCCCCCCCCCCCCCCCCCCCCCCCCCCCCCCCCHHHHHHHHHHHHHHHHHHHHHHHHHHHHHHHHHHHHHHHHHHHHHHHHHHHHHHHHHHHHHHHHHHHHHH/rB:;;s2;;s3;s2;s5;s5;s3;;s11;;s6d+7;s4d+9;s13;d+10s11;s12;s13;s8d+16;;s21;d+18s21;s19;s7;d+24;s9;s10;s26;s22;s16;s18;s29;d+30;s26;s34;s30;s33;s36;d+38;s1d-39;s39;s40;s40;s41;d-42;d-45s46;s2;s2;s3;s3;s5;s5;s4;s4;s6;s6;s8;s8;s12;s12;s11;s11;s13;s13;s14;s15;s17;s19;s19;s20;s21;s21;s22;s22;s23;s24;s25;s25;s25;s27;s27;s27;s28;s28;s28;s29;s29;s31;s31;s31;s32;s32;s32;s33;s33;s34;s35;s35;s35;s36;s36;s37;s37;s37;s38;s42;s43;s43;s43;s44;s44;s44;s45;s46;s47;s1;/rC:3.9069,-16.9404,0;17.2441,1.54,0;14.5766,-3.08,0;17.2441,3.08,0;19.9114,6.1602,0;14.5766,-1.54,0;15.9103,.77,0;19.9114,7.7002,0;18.5778,5.3902,0;13.2429,-3.85,0;11.9091,-6.1602,0;11.9091,-7.7002,0;22.5788,10.7802,0;15.9103,-.77,0;18.5778,3.85,0;21.2453,10.0102,0;13.2429,-5.3902,0;10.5756,-8.4702,0;22.5788,12.3202,0;21.2453,8.4702,0;9.2417,-10.7802,0;9.2417,-12.3202,0;10.5756,-10.0102,0;23.9126,13.0904,0;14.5766,1.54,0;23.9126,14.6304,0;17.2441,6.1602,0;11.9091,-3.08,0;25.2463,15.4004,0;7.9081,-13.0904,0;19.9114,10.7802,0;9.2417,-7.7002,0;25.2463,16.9404,0;7.9081,-14.6304,0;22.5788,15.4004,0;6.5744,-15.4004,0;6.5744,-12.3202,0;26.58,17.7104,0;6.5744,-16.9404,0;26.58,19.2504,0;5.2407,-17.7104,0;7.9081,-17.7104,0;27.9138,20.0204,0;25.2463,20.0204,0;5.2407,-19.2504,0;7.9081,-19.2504,0;6.5744,-20.0204,0;17.5706,.6429,0;18.1843,1.7059,0;14.9033,-3.9773,0;15.5169,-2.9142,0;20.238,5.2629,0;20.8518,6.3259,0;16.9174,3.9773,0;16.3037,2.9142,0;14.2501,-.6429,0;13.6364,-1.7059,0;19.5849,8.5973,0;18.9713,7.5342,0;12.2358,-8.5973,0;12.8496,-7.5342,0;11.5827,-5.2629,0;10.9689,-6.3259,0;22.9053,9.8831,0;23.5193,10.9461,0;16.7373,-1.2475,0;19.4047,3.3727,0;14.0698,-5.8675,0;22.2523,13.2175,0;21.6386,12.1544,0;22.072,7.9927,0;8.9152,-9.8831,0;8.3016,-10.9461,0;9.5683,-13.2175,0;10.1821,-12.1544,0;11.4023,-10.4877,0;24.7395,12.6129,0;15.0539,2.3669,0;13.7497,2.0175,0;14.0991,.7133,0;17.7214,6.9869,0;16.4171,6.6375,0;16.7666,5.3333,0;12.3866,-2.2533,0;11.0824,-2.6027,0;11.4318,-3.9069,0;25.573,14.5031,0;26.1865,15.5661,0;20.3889,11.6071,0;19.0846,11.2577,0;19.4341,9.9534,0;9.7192,-6.8733,0;8.4149,-7.2227,0;8.7644,-8.5269,0;24.9198,17.8377,0;24.3061,16.7744,0;8.7351,-15.1077,0;23.0563,16.2271,0;21.7521,15.8777,0;22.1015,14.5734,0;6.2477,-14.5031,0;5.634,-15.5661,0;7.0519,-11.4934,0;5.7475,-11.8429,0;6.0969,-13.1471,0;27.407,17.2331,0;8.7351,-17.2331,0;28.3911,19.1936,0;28.7405,20.4979,0;27.4363,20.8473,0;25.7236,20.8473,0;24.4194,20.4979,0;24.7688,19.1936,0;4.4137,-19.7279,0;8.7351,-19.7279,0;6.5744,-20.9752,0;3.08,-17.4179,0;
</t>
  </si>
  <si>
    <t xml:space="preserve">C05810</t>
  </si>
  <si>
    <t xml:space="preserve">2p4c2me[c]</t>
  </si>
  <si>
    <t xml:space="preserve">2-Phospho-4-(cytidine_5'-diphospho)-2-C-methyl-D-erythritol</t>
  </si>
  <si>
    <t xml:space="preserve">C14H22N3O17P3</t>
  </si>
  <si>
    <t xml:space="preserve">InChI=1/C14H26N3O17P3/c1-14(6-18,33-35(23,24)25)8(19)5-31-37(28,29)34-36(26,27)30-4-7-10(20)11(21)12(32-7)17-3-2-9(15)16-13(17)22/h2-3,7-8,10-12,18-21H,4-6H2,1H3,(H,26,27)(H,28,29)(H2,15,16,22)(H2,23,24,25)/p-4/t7-,8-,10-,11-,12-,14+/s2
AuxInfo=1/1/N:35,36,30,28,34,33,26,31,37,24,25,27,32,29,23,22,21,13,11,5,6,12,17,18,20,14,15,16,19,7,9,4,8,10,3,1,2/E:(23,24,25)(26,27)(28,29)/rA:59PPPOOOOOOOOOOO-OO-O-O-OONNNC.eC.oC.eC.eCC.oCC.eCCCCCCHHHHHHHHHHHHHHHHHHHHHH/rB:;;;;;s1;s3;s2;s1s2;;;;s1;d1;s2;s3;s3;d2;d3;;;;s5;s6s24;s4s24;s4s21s25;s7s26;s8;s21;s11s29;d12s21s22;s13s29;s9s31;s29;d-30;d+22s23s36;s24;s25;s26;s27;s28;s28;s5;s6;s30;s31;s33;s33;s34;s34;s35;s35;s35;s36;s11;s13;s23;s23;/rC:10.6122,-1.6257,0;13.0489,-2.7106,0;18.2013,-7.5331,0;7.7459,2.1698,0;4.825,-.5408,0;3.7897,2.6458,0;9.7069,-.3797,0;18.8278,-6.1264,0;14.5805,-2.5497,0;11.5173,-2.8715,0;17.6437,-2.2277,0;3.8328,4.6151,0;20.5753,-4.6015,0;11.858,-.7203,0;9.3662,-2.5308,0;13.21,-4.2422,0;19.6082,-8.1596,0;17.5749,-8.9402,0;12.888,-1.179,0;16.7944,-6.9069,0;6.5001,4.6151,0;5.1666,6.9251,0;6.5001,9.2351,0;5.7301,.7052,0;5.2543,2.1698,0;7.2701,.7052,0;6.5001,3.0751,0;8.1754,-.5408,0;17.9224,-4.8804,0;7.8338,5.3851,0;17.0175,-3.6344,0;5.1666,5.3851,0;19.1684,-3.9753,0;15.4857,-3.7955,0;16.6766,-5.7855,0;7.8338,6.9251,0;6.5001,7.6951,0;4.7873,.8546,0;4.5791,1.4948,0;8.2133,.8546,0;5.6495,3.5084,0;7.3173,-.9593,0;8.4386,-1.4586,0;5.2132,-1.4129,0;3.08,2.0069,0;8.6608,4.9077,0;17.967,-3.5347,0;19.7025,-3.1836,0;18.4817,-3.312,0;14.6276,-4.2142,0;15.7489,-4.7133,0;16.1155,-5.0133,0;15.9042,-6.3469,0;17.2377,-6.558,0;8.6608,7.4026,0;18.5933,-2.1278,0;21.3478,-4.0404,0;7.327,9.7126,0;5.6734,9.7126,0;
</t>
  </si>
  <si>
    <t xml:space="preserve">C11436</t>
  </si>
  <si>
    <t xml:space="preserve">2pg[c]</t>
  </si>
  <si>
    <t xml:space="preserve">D-Glycerate_2-phosphate</t>
  </si>
  <si>
    <t xml:space="preserve">C3H4O7P</t>
  </si>
  <si>
    <t xml:space="preserve">InChI=1/C3H7O7P/c4-1-2(3(5)6)10-11(7,8)9/h2,4H,1H2,(H,5,6)(H2,7,8,9)/p-3/t2-/s2
AuxInfo=1/1/N:10,9,11,3,6,8,4,5,7,2,1/E:(5,6)(7,8,9)/rA:15POOO-O-O-OOC.oCCHHHH/rB:s1;;s1;s1;;d1;;s2;s3s9;s6d8s9;s9;s10;s10;s3;/rC:5.2407,.4775,0;6.5744,1.2475,0;9.2417,-1.8327,0;3.9069,-.2927,0;4.4707,1.811,0;10.5756,.4775,0;6.0107,-.8562,0;9.2417,2.7875,0;7.9081,.4775,0;7.9081,-1.0627,0;9.2417,1.2475,0;7.9081,1.4323,0;6.9677,-.8967,0;7.5817,-1.9598,0;9.2417,-2.7875,0;
</t>
  </si>
  <si>
    <t xml:space="preserve">C00631</t>
  </si>
  <si>
    <t xml:space="preserve">2pglyc[c]</t>
  </si>
  <si>
    <t xml:space="preserve">2-Phosphoglycolate</t>
  </si>
  <si>
    <t xml:space="preserve">C2H2O6P</t>
  </si>
  <si>
    <t xml:space="preserve">InChI=1S/C2H5O6P/c3-2(4)1-8-9(5,6)7/h1H2,(H,3,4)(H2,5,6,7)/p-3
AuxInfo=1/1/N:8,9,6,7,3,4,5,2,1/E:(3,4)(5,6,7)/rA:11POO-O-OO-OCCHH/rB:s1;s1;s1;d1;;;s2;s6d7s8;s8;s8;/rC:5.241,-.4881,0;6.575,.2819,0;3.9073,-1.2583,0;4.471,.8454,0;6.011,-1.8221,0;10.5763,-.4881,0;9.2424,1.8221,0;7.9087,-.4881,0;9.2424,.2819,0;7.2949,-1.2195,0;8.5223,-1.2195,0;
</t>
  </si>
  <si>
    <t xml:space="preserve">C00988</t>
  </si>
  <si>
    <t xml:space="preserve">2tadeACP[c]</t>
  </si>
  <si>
    <t xml:space="preserve">2-trans-Octadecenoyl-ACP</t>
  </si>
  <si>
    <t xml:space="preserve">C29H53N2O8PRS</t>
  </si>
  <si>
    <t xml:space="preserve">2teicACP[c]</t>
  </si>
  <si>
    <t xml:space="preserve">2-trans-Eicosenoyl-ACP</t>
  </si>
  <si>
    <t xml:space="preserve">C31H57N2O8PRS</t>
  </si>
  <si>
    <t xml:space="preserve">2tpenACP[c]</t>
  </si>
  <si>
    <t xml:space="preserve">2-trans-Pentenoyl-ACP</t>
  </si>
  <si>
    <t xml:space="preserve">C16H27N2O8PRS</t>
  </si>
  <si>
    <t xml:space="preserve">34hpp[c]</t>
  </si>
  <si>
    <t xml:space="preserve">3-4-Hydroxyphenylpyruvate</t>
  </si>
  <si>
    <t xml:space="preserve">C9H7O4</t>
  </si>
  <si>
    <t xml:space="preserve">InChI=1S/C9H8O4/c10-7-3-1-6(2-4-7)5-8(11)9(12)13/h1-4,10H,5H2,(H,12,13)/p-1
AuxInfo=1/1/N:7,8,9,10,6,5,11,12,13,1,2,3,4/E:(1,2)(3,4)(12,13)/rA:20OOO-OCCCCCCCCCHHHHHHH/rB:;;;;s5;d+5;s5;s7;d-8;s1d+9s10;d2s6;s3d4s12;s6;s6;s7;s8;s9;s10;s1;/rC:4.4137,-4.8587,0;7.0812,1.3013,0;7.0812,4.3814,0;4.4137,4.3814,0;4.4137,-.2387,0;4.4137,1.3013,0;3.08,-1.0087,0;5.7475,-1.0087,0;3.08,-2.5487,0;5.7475,-2.5487,0;4.4137,-3.3187,0;5.7475,2.0713,0;5.7475,3.6114,0;4.0873,2.1986,0;3.4733,1.1355,0;2.2533,-.5313,0;6.5744,-.5313,0;2.2533,-3.0262,0;6.5744,-3.0262,0;3.5868,-5.3362,0;
</t>
  </si>
  <si>
    <t xml:space="preserve">C01179</t>
  </si>
  <si>
    <t xml:space="preserve">3c2hmp[c]</t>
  </si>
  <si>
    <t xml:space="preserve">3-Isopropylmalate</t>
  </si>
  <si>
    <t xml:space="preserve">C7H10O5</t>
  </si>
  <si>
    <t xml:space="preserve">InChI=1/C7H12O5/c1-3(2)4(6(9)10)5(8)7(11)12/h3-5,8H,1-2H3,(H,9,10)(H,11,12)/p-2/t4-,5+/s2
AuxInfo=1/1/N:9,10,7,6,8,11,12,1,2,3,4,5/E:(1,2)(9,10)(11,12)/rA:22OO-OO-OC.eCC.oCCCCHHHHHHHHHH/rB:;;;;;s6;s1s6;s7;s7;s2d3s6;s4d5s8;s6;s7;s8;s10;s10;s10;s9;s9;s9;s1;/rC:7.9081,2.0713,0;3.9069,-.2387,0;5.2407,2.0713,0;10.5756,.5313,0;9.2417,-1.7787,0;6.5744,-.2387,0;6.5744,-1.7787,0;7.9081,.5313,0;5.2407,-2.5487,0;7.9081,-2.5487,0;5.2407,.5313,0;9.2417,-.2387,0;6.5744,.7161,0;6.5744,-2.7335,0;8.7351,1.0087,0;7.4306,-3.3757,0;8.7351,-3.0262,0;8.3854,-1.722,0;4.7634,-1.722,0;4.4137,-3.0262,0;5.7182,-3.3757,0;8.7351,2.5487,0;
</t>
  </si>
  <si>
    <t xml:space="preserve">C04411</t>
  </si>
  <si>
    <t xml:space="preserve">3c3hmp[c]</t>
  </si>
  <si>
    <t xml:space="preserve">3-Carboxy-3-hydroxy-4-methylpentanoate</t>
  </si>
  <si>
    <t xml:space="preserve">InChI=1/C7H12O5/c1-4(2)7(12,6(10)11)3-5(8)9/h4,12H,3H2,1-2H3,(H,8,9)(H,10,11)/p-2/t7-/s2
AuxInfo=1/1/N:9,10,8,7,12,11,6,4,5,2,3,1/E:(1,2)(8,9)(10,11)/rA:22OO-OO-OC.oCCCCCCHHHHHHHHHH/rB:;;;;s1;s6;s6;s7;s7;s2d3s6;s4d5s8;s7;s8;s8;s9;s9;s9;s10;s10;s10;s1;/rC:7.247,-2.4058,0;9.1444,-1.072,0;7.8107,1.238,0;4.7945,2.7685,0;3.08,.725,0;6.477,-1.072,0;5.1432,-1.842,0;5.707,.2619,0;3.6266,-2.1093,0;5.1432,-3.382,0;7.8107,-.302,0;4.5274,1.2518,0;4.8166,-.9447,0;6.6552,.3726,0;4.9756,-.3521,0;3.4608,-1.1691,0;2.6863,-2.2753,0;3.7925,-3.0498,0;4.1884,-3.382,0;5.1432,-4.3368,0;6.098,-3.382,0;6.7695,-3.2325,0;
</t>
  </si>
  <si>
    <t xml:space="preserve">C02504</t>
  </si>
  <si>
    <t xml:space="preserve">3c4mop[c]</t>
  </si>
  <si>
    <t xml:space="preserve">2S-2-Isopropyl-3-oxosuccinate</t>
  </si>
  <si>
    <t xml:space="preserve">C7H8O5</t>
  </si>
  <si>
    <t xml:space="preserve">InChI=1/C7H10O5/c1-3(2)4(6(9)10)5(8)7(11)12/h3-4H,1-2H3,(H,9,10)(H,11,12)/p-2/t4-/s2
AuxInfo=1/1/N:8,9,6,7,10,11,12,2,1,3,4,5/E:(1,2)(9,10)(11,12)/rA:20O-OOO-OCC.eCCCCCHHHHHHHH/rB:;;;;;s6;s6;s6;d2s7;s1d3s7;s4d5s10;s6;s7;s8;s8;s8;s9;s9;s9;/rC:3.9069,0,0;7.9081,2.31,0;5.2407,2.31,0;10.5756,.77,0;9.2417,-1.54,0;6.5744,-1.54,0;6.5744,0,0;5.2407,-2.31,0;7.9081,-2.31,0;7.9081,.77,0;5.2407,.77,0;9.2417,0,0;6.5744,-2.4948,0;6.5744,.9548,0;4.7634,-1.4833,0;4.4137,-2.7875,0;5.7182,-3.1369,0;7.4306,-3.1369,0;8.7351,-2.7875,0;8.3854,-1.4833,0;
</t>
  </si>
  <si>
    <t xml:space="preserve">C04236</t>
  </si>
  <si>
    <t xml:space="preserve">3cddACP[c]</t>
  </si>
  <si>
    <t xml:space="preserve">3-cis-Dodecenoyl-ACP</t>
  </si>
  <si>
    <t xml:space="preserve">C23H41N2O8PRS</t>
  </si>
  <si>
    <t xml:space="preserve">3dhq[c]</t>
  </si>
  <si>
    <t xml:space="preserve">3-Dehydroquinate</t>
  </si>
  <si>
    <t xml:space="preserve">C7H9O6</t>
  </si>
  <si>
    <t xml:space="preserve">InChI=1/C7H10O6/c8-3-1-7(13,6(11)12)2-4(9)5(3)10/h3,5,8,10,13H,1-2H2,(H,11,12)/p-1/t3-,5+,7-/s2
AuxInfo=1/1/N:8,10,9,12,11,13,7,2,4,3,5,6,1/E:(11,12)/rA:22OOOOO-OC.oCC.oCC.eCCHHHHHHHHH/rB:;;;;;s1;s7;s2s8;s7;s3s9;d4s10s11;s5d6s7;s8;s8;s9;s10;s10;s11;s1;s2;s3;/rC:5.8044,2.5487,0;3.9069,-1.865,0;6.5744,-3.405,0;9.2417,-1.865,0;8.8844,2.5487,0;6.5744,3.8825,0;6.5744,1.215,0;5.2407,.445,0;5.2407,-1.095,0;7.9081,.445,0;6.5744,-1.865,0;7.9081,-1.095,0;7.3444,2.5487,0;4.9142,1.3423,0;4.3004,.2793,0;5.2407,-2.0498,0;8.8484,.2793,0;8.2348,1.3423,0;7.4013,-2.3425,0;4.8496,2.5487,0;3.08,-1.3875,0;5.7475,-3.8825,0;
</t>
  </si>
  <si>
    <t xml:space="preserve">C00944</t>
  </si>
  <si>
    <t xml:space="preserve">3dhsk[c]</t>
  </si>
  <si>
    <t xml:space="preserve">3-Dehydroshikimate</t>
  </si>
  <si>
    <t xml:space="preserve">C7H7O5</t>
  </si>
  <si>
    <t xml:space="preserve">InChI=1/C7H8O5/c8-4-1-3(7(11)12)2-5(9)6(4)10/h1,5-6,9-10H,2H2,(H,11,12)/p-1/t5-,6-/s2
AuxInfo=1/1/N:11,8,9,10,6,7,12,3,1,2,4,5/E:(11,12)/rA:19OOOO-OC.eC.eCCCCCHHHHHHH/rB:;;;;s1;s2s6;s6;s8;d3s7;d-9s10;s4d5s9;s6;s7;s8;s8;s11;s1;s2;/rC:3.9069,2.1638,0;6.5744,3.7038,0;9.2417,2.1638,0;5.2407,-3.2263,0;7.9081,-3.2263,0;5.2407,1.3937,0;6.5744,2.1638,0;5.2407,-.1463,0;6.5744,-.9163,0;7.9081,1.3937,0;7.9081,-.1463,0;6.5744,-2.4563,0;5.2407,2.3486,0;7.4013,2.6411,0;4.3004,.0196,0;4.9142,-1.0435,0;8.7351,-.6237,0;3.08,1.6863,0;7.4013,4.1811,0;
</t>
  </si>
  <si>
    <t xml:space="preserve">C02637</t>
  </si>
  <si>
    <t xml:space="preserve">3dmq[c]</t>
  </si>
  <si>
    <t xml:space="preserve">3-Demethylubiquinone</t>
  </si>
  <si>
    <t xml:space="preserve">C48H74O4</t>
  </si>
  <si>
    <t xml:space="preserve">InChI=1S/C48H74O4/c1-35(2)19-12-20-36(3)21-13-22-37(4)23-14-24-38(5)25-15-26-39(6)27-16-28-40(7)29-17-30-41(8)31-18-32-42(9)33-34-44-43(10)45(49)47(51)48(52-11)46(44)50/h19,21,23,25,27,29,31,33,49-51H,12-18,20,22,24,26,28,30,32,34H2,1-11H3/b36-21+,37-23+,38-25+,39-27+,40-29+,41-31+,42-33+
AuxInfo=1/0/N:1,3,8,13,18,23,28,33,38,43,50,5,10,15,20,25,30,35,4,6,9,11,14,16,19,21,24,26,29,31,34,36,39,40,2,7,12,17,22,27,32,37,42,41,44,51,46,48,45,52,47,49/E:(1,2)/rA:52CCCCCCCCCCCCCCCCCCCCCCCCCCCCCCCCCCCCCCCCCCCCOCOCOCCO/rB:s1;s2;d+2;s4;s5;s6;s7;d+7;s9;s10;s11;s12;d+12;s14;s15;s16;s17;d+17;s19;s20;s21;s22;d+22;s24;s25;s26;s27;d+27;s29;s30;s31;s32;d+32;s34;s35;s36;s37;d+37;s39;s40;d-41;s42;s42;s44;d+44;s46;s46;s48;s49;s41d-48;s51;/rC:-20.0053,39.27,0;-18.6715,38.5,0;-17.3378,39.27,0;-18.6715,36.96,0;-17.3378,36.19,0;-17.3378,34.65,0;-16.0042,33.88,0;-14.6705,34.65,0;-16.0042,32.34,0;-14.6705,31.57,0;-14.6705,30.03,0;-13.3368,29.26,0;-12.003,30.03,0;-13.3368,27.72,0;-12.003,26.95,0;-12.003,25.41,0;-10.6695,24.64,0;-9.3358,25.41,0;-10.6695,23.1,0;-9.3358,22.33,0;-9.3358,20.79,0;-8.002,20.02,0;-6.6685,20.79,0;-8.002,18.48,0;-6.6685,17.71,0;-6.6685,16.17,0;-5.3347,15.4,0;-4.001,16.17,0;-5.3347,13.86,0;-4.001,13.09,0;-4.001,11.55,0;-2.6673,10.78,0;-1.3337,11.55,0;-2.6673,9.24,0;-1.3337,8.47,0;-1.3337,6.93,0;0,6.16,0;1.3337,6.93,0;0,4.62,0;1.3337,3.85,0;1.3337,2.31,0;2.6673,1.54,0;4.001,2.31,0;2.6673,0,0;4.001,-.77,0;1.3337,-.77,0;1.3337,-2.31,0;;-1.3337,-.77,0;-2.6673,0,0;0,1.54,0;-1.3337,2.31,0;
</t>
  </si>
  <si>
    <t xml:space="preserve">C03226</t>
  </si>
  <si>
    <t xml:space="preserve">3hddecACP[c]</t>
  </si>
  <si>
    <t xml:space="preserve">R-3-hydroxydodecanoyl-ACP</t>
  </si>
  <si>
    <t xml:space="preserve">C23H43N2O9PRS</t>
  </si>
  <si>
    <t xml:space="preserve">C05757</t>
  </si>
  <si>
    <t xml:space="preserve">3hdecACP[c]</t>
  </si>
  <si>
    <t xml:space="preserve">R-3-hydroxydecanoyl-ACP</t>
  </si>
  <si>
    <t xml:space="preserve">C21H39N2O9PRS</t>
  </si>
  <si>
    <t xml:space="preserve">C04619</t>
  </si>
  <si>
    <t xml:space="preserve">3hhexACP[c]</t>
  </si>
  <si>
    <t xml:space="preserve">R-3-hydroxyhexanoyl-ACP</t>
  </si>
  <si>
    <t xml:space="preserve">C17H31N2O9PRS</t>
  </si>
  <si>
    <t xml:space="preserve">C05747</t>
  </si>
  <si>
    <t xml:space="preserve">3hmrsACP[c]</t>
  </si>
  <si>
    <t xml:space="preserve">R-3-hydroxytetradecanoyl-ACP</t>
  </si>
  <si>
    <t xml:space="preserve">C25H47N2O9PRS</t>
  </si>
  <si>
    <t xml:space="preserve">C04688</t>
  </si>
  <si>
    <t xml:space="preserve">3hoctACP[c]</t>
  </si>
  <si>
    <t xml:space="preserve">R-3-hydroxyoctanoyl-ACP</t>
  </si>
  <si>
    <t xml:space="preserve">C19H35N2O9PRS</t>
  </si>
  <si>
    <t xml:space="preserve">C04620</t>
  </si>
  <si>
    <t xml:space="preserve">3hoctaACP[c]</t>
  </si>
  <si>
    <t xml:space="preserve">R-3-hydroxyoctadecanoyl-ACP</t>
  </si>
  <si>
    <t xml:space="preserve">C29H55N2O9PRS</t>
  </si>
  <si>
    <t xml:space="preserve">C16220</t>
  </si>
  <si>
    <t xml:space="preserve">3hpalmACP[c]</t>
  </si>
  <si>
    <t xml:space="preserve">R-3-hydroxyhexadecanoyl-ACP</t>
  </si>
  <si>
    <t xml:space="preserve">C27H51N2O9PRS</t>
  </si>
  <si>
    <t xml:space="preserve">C04633</t>
  </si>
  <si>
    <t xml:space="preserve">3hydbutACP[c]</t>
  </si>
  <si>
    <t xml:space="preserve">R-3-hydroxybutanoyl-ACP</t>
  </si>
  <si>
    <t xml:space="preserve">C15H27N2O9PRS</t>
  </si>
  <si>
    <t xml:space="preserve">3hynonACP[c]</t>
  </si>
  <si>
    <t xml:space="preserve">R-3-hydroxynonadecanoyl-ACP</t>
  </si>
  <si>
    <t xml:space="preserve">C30H57N2O9PRS</t>
  </si>
  <si>
    <t xml:space="preserve">3ig3p[c]</t>
  </si>
  <si>
    <t xml:space="preserve">1-Indol-3-ylglycerol_3-phosphate</t>
  </si>
  <si>
    <t xml:space="preserve">C11H12NO6P</t>
  </si>
  <si>
    <t xml:space="preserve">InChI=1/C11H14NO6P/c13-10(6-18-19(15,16)17)11(14)8-5-12-9-4-2-1-3-7(8)9/h1-5,10-14H,6H2,(H2,15,16,17)/p-2/t10-,11+/s2
AuxInfo=1/1/N:18,19,16,17,14,15,12,10,13,11,9,8,3,2,5,6,7,4,1/E:(15,16,17)/rA:31POOOO-O-ONC.eCC.eCCCCCCCCHHHHHHHHHHHH/rB:;;s1;s1;s1;d1;;s2;s9;s3s9;s10;s8s12;s8d+10;s4s11;d+12;d+13;s16;s17d-18;s9;s11;s14;s15;s15;s8;s16;s17;s2;s3;s18;s19;/rC:11.654,3.3761,0;6.6547,.9595,0;10.2185,-1.0155,0;11.1754,1.9122,0;12.1322,4.8399,0;13.1176,2.8976,0;10.1901,3.8545,0;7.2048,-4.1293,0;7.683,-.1869,0;7.2048,-1.6507,0;9.19,.1307,0;5.7475,-2.1198,0;5.7475,-3.66,0;8.1036,-2.8898,0;9.6684,1.5947,0;4.4137,-1.3498,0;4.4137,-4.43,0;3.08,-2.1198,0;3.08,-3.66,0;7.9796,.7207,0;8.8934,-.7767,0;9.0584,-2.8898,0;9.6369,2.5489,0;8.7233,1.7291,0;7.5014,-5.0368,0;4.4137,-.395,0;4.4137,-5.3848,0;6.9513,1.8672,0;11.153,-.8185,0;2.2533,-1.6425,0;2.2533,-4.1373,0;
</t>
  </si>
  <si>
    <t xml:space="preserve">C03506</t>
  </si>
  <si>
    <t xml:space="preserve">3mob[c]</t>
  </si>
  <si>
    <t xml:space="preserve">3-Methyl-2-oxobutanoate</t>
  </si>
  <si>
    <t xml:space="preserve">C5H7O3</t>
  </si>
  <si>
    <t xml:space="preserve">InChI=1S/C5H8O3/c1-3(2)4(6)5(7)8/h3H,1-2H3,(H,7,8)/p-1
AuxInfo=1/1/N:5,6,4,7,8,1,2,3/E:(1,2)(7,8)/rA:15OO-OCCCCCHHHHHHH/rB:;;;s4;s4;d1s4;s2d3s7;s4;s5;s5;s5;s6;s6;s6;/rC:5.7475,-1.9251,0;8.4149,-.3851,0;7.0812,1.9251,0;4.4137,.3851,0;3.08,-.3851,0;4.4137,1.9251,0;5.7475,-.3851,0;7.0812,.3851,0;4.4137,-.5699,0;2.6027,.4418,0;2.2533,-.8624,0;3.5575,-1.2118,0;5.3685,1.9251,0;4.4137,2.8799,0;3.4589,1.9251,0;
</t>
  </si>
  <si>
    <t xml:space="preserve">C00141</t>
  </si>
  <si>
    <t xml:space="preserve">3mop[c]</t>
  </si>
  <si>
    <t xml:space="preserve">Ketoisoleucine</t>
  </si>
  <si>
    <t xml:space="preserve">C6H9O3</t>
  </si>
  <si>
    <t xml:space="preserve">InChI=1/C6H10O3/c1-3-4(2)5(7)6(8)9/h4H,3H2,1-2H3,(H,8,9)/p-1/t4-/s2
AuxInfo=1/1/N:8,6,5,4,7,9,1,2,3/E:(8,9)/rA:18OO-OC.oCCCCCHHHHHHHHH/rB:;;;s4;s4;d1s4;s5;s2d3s7;s4;s5;s5;s6;s6;s6;s8;s8;s8;/rC:6.5744,-1.9251,0;3.9069,-.3851,0;5.2407,1.9251,0;7.9081,.3851,0;9.2417,-.3851,0;7.9081,1.9251,0;6.5744,-.3851,0;10.5756,.3851,0;5.2407,.3851,0;8.7351,.8624,0;8.6281,-1.1165,0;9.8556,-1.1165,0;8.8629,1.9251,0;7.9081,2.8799,0;6.9533,1.9251,0;11.0529,-.4418,0;11.4023,.8624,0;10.0981,1.2118,0;
</t>
  </si>
  <si>
    <t xml:space="preserve">C00671</t>
  </si>
  <si>
    <t xml:space="preserve">3oddecACP[c]</t>
  </si>
  <si>
    <t xml:space="preserve">3-oxododecanoyl-ACP</t>
  </si>
  <si>
    <t xml:space="preserve">C23H41N2O9PRS</t>
  </si>
  <si>
    <t xml:space="preserve">C05756</t>
  </si>
  <si>
    <t xml:space="preserve">3odecACP[c]</t>
  </si>
  <si>
    <t xml:space="preserve">3-oxodecanoyl-ACP</t>
  </si>
  <si>
    <t xml:space="preserve">C21H37N2O9PRS</t>
  </si>
  <si>
    <t xml:space="preserve">C05753</t>
  </si>
  <si>
    <t xml:space="preserve">3ohexACP[c]</t>
  </si>
  <si>
    <t xml:space="preserve">3-oxohexanoyl-ACP</t>
  </si>
  <si>
    <t xml:space="preserve">C17H29N2O9PRS</t>
  </si>
  <si>
    <t xml:space="preserve">C05746</t>
  </si>
  <si>
    <t xml:space="preserve">3omrsACP[c]</t>
  </si>
  <si>
    <t xml:space="preserve">3-oxotetradecanoyl-ACP</t>
  </si>
  <si>
    <t xml:space="preserve">C25H45N2O9PRS</t>
  </si>
  <si>
    <t xml:space="preserve">C05759</t>
  </si>
  <si>
    <t xml:space="preserve">3ooctACP[c]</t>
  </si>
  <si>
    <t xml:space="preserve">3-oxooctanoyl-ACP</t>
  </si>
  <si>
    <t xml:space="preserve">C19H33N2O9PRS</t>
  </si>
  <si>
    <t xml:space="preserve">C05750</t>
  </si>
  <si>
    <t xml:space="preserve">3ooctdACP[c]</t>
  </si>
  <si>
    <t xml:space="preserve">3-oxooctadecanoyl-ACP</t>
  </si>
  <si>
    <t xml:space="preserve">C29H53N2O9PRS</t>
  </si>
  <si>
    <t xml:space="preserve">C16219</t>
  </si>
  <si>
    <t xml:space="preserve">3opalmACP[c]</t>
  </si>
  <si>
    <t xml:space="preserve">3-oxohexadecanoyl-ACP</t>
  </si>
  <si>
    <t xml:space="preserve">C27H49N2O9PRS</t>
  </si>
  <si>
    <t xml:space="preserve">C05762</t>
  </si>
  <si>
    <t xml:space="preserve">3ophb[c]</t>
  </si>
  <si>
    <t xml:space="preserve">3-Octaprenyl-4-hydroxybenzoate</t>
  </si>
  <si>
    <t xml:space="preserve">C47H69O3</t>
  </si>
  <si>
    <t xml:space="preserve">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
AuxInfo=1/1/N:47,48,38,33,29,26,30,34,39,35,21,10,6,8,13,23,41,32,27,15,22,7,17,4,16,5,20,12,25,24,36,37,49,46,44,42,28,18,11,9,14,19,31,40,45,43,50,1,2,3/E:(1,2)(49,50)/rA:119OO-OCCCCCCCCCCCCCCCCCCCCCCCCCCCCCCCCCCCCCCCCCCCCCCCHHHHHHHHHHHHHHHHHHHHHHHHHHHHHHHHHHHHHHHHHHHHHHHHHHHHHHHHHHHHHHHHHHHHH/rB:;;;;s4;;s5;s4;s7;s7;;s12;s5;;s8d+9;s6d+11;s15;s12;s13d+14;s15;s10d+18;;s23;d+19s23;s9;s21;d+27;s11;s14;s24;s28;s18;s19;s32;d+31;s36;s28;s31;s37;s35;d+41;s1d-40;s40;d-44;s43;s42;s42;s45d-46;s2d3s45;s4;s4;s5;s5;s6;s6;s7;s7;s8;s8;s10;s10;s12;s12;s13;s13;s15;s15;s16;s17;s20;s21;s21;s22;s23;s23;s24;s24;s25;s26;s26;s26;s27;s29;s29;s29;s30;s30;s30;s32;s32;s33;s33;s33;s34;s34;s34;s35;s35;s36;s37;s37;s38;s38;s38;s39;s39;s39;s41;s44;s46;s47;s47;s47;s48;s48;s48;s49;s1;/rC:3.9069,-15.9316,0;9.2417,-20.5518,0;10.5756,-18.2416,0;17.2441,2.5487,0;14.5766,-2.0713,0;17.2441,4.0887,0;19.9114,7.1689,0;14.5766,-.5313,0;15.9103,1.7787,0;19.9114,8.7089,0;18.5778,6.3989,0;11.9091,-6.6914,0;11.9091,-5.1514,0;13.2429,-2.8414,0;22.5788,11.7889,0;15.9103,.2387,0;18.5778,4.8587,0;21.2453,11.0189,0;10.5756,-7.4614,0;13.2429,-4.3814,0;22.5788,13.3289,0;21.2453,9.4789,0;9.2417,-9.7714,0;9.2417,-11.3116,0;10.5756,-9.0014,0;14.5766,2.5487,0;23.9126,14.0989,0;23.9126,15.6391,0;17.2441,7.1689,0;11.9091,-2.0713,0;7.9081,-12.0816,0;25.2463,16.4091,0;19.9114,11.7889,0;9.2417,-6.6914,0;25.2463,17.9491,0;7.9081,-13.6216,0;6.5744,-14.3916,0;22.5788,16.4091,0;6.5744,-11.3116,0;6.5744,-15.9316,0;26.58,18.7191,0;26.58,20.2591,0;5.2407,-16.7016,0;7.9081,-16.7016,0;7.9081,-18.2416,0;5.2407,-18.2416,0;27.9138,21.0291,0;25.2463,21.0291,0;6.5744,-19.0116,0;9.2417,-19.0116,0;17.5706,1.6514,0;18.1843,2.7147,0;14.9033,-2.9686,0;15.5169,-1.9055,0;16.9174,4.9861,0;16.3037,3.923,0;20.238,6.2716,0;20.8518,7.3347,0;14.2501,.3659,0;13.6364,-.6972,0;19.5849,9.6061,0;18.9713,8.543,0;12.2358,-7.5887,0;12.8496,-6.5255,0;11.5827,-4.2541,0;10.9689,-5.3172,0;22.9053,10.8918,0;23.5193,11.9549,0;16.7373,-.2387,0;19.4047,4.3814,0;14.0698,-4.8587,0;22.2523,14.2262,0;21.6386,13.1632,0;22.072,9.0014,0;8.9152,-8.8743,0;8.3016,-9.9374,0;9.5683,-12.2087,0;10.1821,-11.1457,0;11.4023,-9.4789,0;15.0539,3.3757,0;13.7497,3.0262,0;14.0991,1.722,0;24.7395,13.6216,0;17.7214,7.9957,0;16.4171,7.6462,0;16.7666,6.342,0;12.3866,-1.2445,0;11.0824,-1.5939,0;11.4318,-2.8982,0;25.573,15.5118,0;26.1865,16.5749,0;20.3889,12.6159,0;19.0846,12.2664,0;19.4341,10.9622,0;9.7192,-5.8647,0;8.4149,-6.2139,0;8.7644,-7.5184,0;24.9198,18.8462,0;24.3061,17.7832,0;8.7351,-14.0989,0;6.2477,-13.4943,0;5.634,-14.5574,0;23.0563,17.2359,0;21.7521,16.8864,0;22.1015,15.5822,0;7.0519,-10.4847,0;5.7475,-10.8341,0;6.0969,-12.1384,0;27.407,18.2416,0;8.7351,-16.2243,0;4.4137,-18.7191,0;28.3911,20.2024,0;28.7405,21.5066,0;27.4363,21.8561,0;25.7236,21.8561,0;24.4194,21.5066,0;24.7688,20.2024,0;6.5744,-19.9666,0;3.08,-16.4091,0;
</t>
  </si>
  <si>
    <t xml:space="preserve">C05809</t>
  </si>
  <si>
    <t xml:space="preserve">3oxeicACP[c]</t>
  </si>
  <si>
    <t xml:space="preserve">3-oxoeicosanoyl-ACP</t>
  </si>
  <si>
    <t xml:space="preserve">C31H57N2O9PRS</t>
  </si>
  <si>
    <t xml:space="preserve">3oxhepACP[c]</t>
  </si>
  <si>
    <t xml:space="preserve">3-oxoheptadecanoyl-ACP</t>
  </si>
  <si>
    <t xml:space="preserve">C28H51N2O9PRS</t>
  </si>
  <si>
    <t xml:space="preserve">3oxnonACP[c]</t>
  </si>
  <si>
    <t xml:space="preserve">3-oxononadecanoyl-ACP</t>
  </si>
  <si>
    <t xml:space="preserve">C30H55N2O9PRS</t>
  </si>
  <si>
    <t xml:space="preserve">3oxpenACP[c]</t>
  </si>
  <si>
    <t xml:space="preserve">3-oxopentanoyl-ACP</t>
  </si>
  <si>
    <t xml:space="preserve">C16H27N2O9PRS</t>
  </si>
  <si>
    <t xml:space="preserve">3pg[c]</t>
  </si>
  <si>
    <t xml:space="preserve">D-Glycerate_3-phosphate</t>
  </si>
  <si>
    <t xml:space="preserve">InChI=1/C3H7O7P/c4-2(3(5)6)1-10-11(7,8)9/h2,4H,1H2,(H,5,6)(H2,7,8,9)/p-3/t2-/s2
AuxInfo=1/1/N:9,10,11,3,6,8,4,5,7,2,1/E:(5,6)(7,8,9)/rA:15POOO-O-O-OOCC.oCHHHH/rB:s1;;s1;s1;;d1;;s2;s3s9;s6d8s10;s9;s9;s10;s3;/rC:5.2407,-.6237,0;6.5744,.1463,0;9.2417,1.6863,0;3.9069,-1.3937,0;4.4707,.7099,0;11.9091,.1463,0;6.0107,-1.9574,0;10.5756,-2.1638,0;7.9081,-.6237,0;9.2417,.1463,0;10.5756,-.6237,0;7.2944,-1.355,0;8.5217,-1.355,0;10.0688,.6237,0;10.0688,2.1638,0;
</t>
  </si>
  <si>
    <t xml:space="preserve">C00197</t>
  </si>
  <si>
    <t xml:space="preserve">3php[c]</t>
  </si>
  <si>
    <t xml:space="preserve">3-Phosphohydroxypyruvate</t>
  </si>
  <si>
    <t xml:space="preserve">C3H2O7P</t>
  </si>
  <si>
    <t xml:space="preserve">InChI=1S/C3H5O7P/c4-2(3(5)6)1-10-11(7,8)9/h1H2,(H,5,6)(H2,7,8,9)/p-3
AuxInfo=1/1/N:9,10,11,6,7,8,3,4,5,2,1/E:(5,6)(7,8,9)/rA:13POO-O-OOO-OCCCHH/rB:s1;s1;s1;d1;;;;s2;d6s9;s7d8s10;s9;s9;/rC:5.2407,-.3851,0;6.5744,.3851,0;3.9069,-1.1551,0;4.4707,.9486,0;6.0107,-1.7186,0;9.2417,1.9251,0;11.9091,.3851,0;10.5756,-1.9251,0;7.9081,-.3851,0;9.2417,.3851,0;10.5756,-.3851,0;7.2944,-1.1165,0;8.5217,-1.1165,0;
</t>
  </si>
  <si>
    <t xml:space="preserve">C03232</t>
  </si>
  <si>
    <t xml:space="preserve">3psme[c]</t>
  </si>
  <si>
    <t xml:space="preserve">5-O-1-Carboxyvinyl-3-phosphoshikimate</t>
  </si>
  <si>
    <t xml:space="preserve">C10H9O10P</t>
  </si>
  <si>
    <t xml:space="preserve">InChI=1/C10H13O10P/c1-4(9(12)13)19-6-2-5(10(14)15)3-7(8(6)11)20-21(16,17)18/h3,6-8,11H,1-2H2,(H,12,13)(H,14,15)(H2,16,17,18)/p-4/t6-,7-,8+/s2
AuxInfo=1/1/N:21,15,17,19,16,13,14,12,20,18,4,10,11,5,6,7,8,9,2,3,1/E:(12,13)(14,15)(16,17,18)/rA:30POOOO-OO-O-OO-OC.eC.eC.eCCCCCCCHHHHHHHHH/rB:;s1;;;;s1;s1;d1;;;s4;s2s12;s3s12;s13;s15;s14d-16;s5d6s16;s2;s10d11s19;d+19;s12;s13;s14;s15;s15;s17;s4;s21;s21;/rC:9.7485,3.9963,0;5.7475,-1.3937,0;8.4149,3.2263,0;5.7475,1.6863,0;11.0824,-2.9338,0;12.4161,-.6237,0;11.0824,4.7663,0;8.9785,5.3301,0;10.5187,2.6628,0;4.4137,-5.2438,0;3.08,-2.9338,0;7.0812,.9163,0;7.0812,-.6237,0;8.4149,1.6863,0;8.4149,-1.3937,0;9.7485,-.6237,0;9.7485,.9163,0;11.0824,-1.3937,0;5.7475,-2.9338,0;4.4137,-3.7038,0;7.0812,-3.7038,0;7.0812,1.8711,0;7.0812,-1.5785,0;9.2417,2.1638,0;7.8012,-2.1252,0;9.0287,-2.1252,0;10.5756,1.3937,0;4.9205,1.2089,0;7.0812,-4.6586,0;7.9081,-3.2263,0;
</t>
  </si>
  <si>
    <t xml:space="preserve">C01269</t>
  </si>
  <si>
    <t xml:space="preserve">4abz[c]</t>
  </si>
  <si>
    <t xml:space="preserve">4-Aminobenzoate</t>
  </si>
  <si>
    <t xml:space="preserve">C7H6NO2</t>
  </si>
  <si>
    <t xml:space="preserve">InChI=1S/C7H7NO2/c8-6-3-1-5(2-4-6)7(9)10/h1-4H,8H2,(H,9,10)/p-1
AuxInfo=1/1/N:6,7,8,9,4,5,10,3,1,2/E:(1,2)(3,4)(9,10)/rA:16O-ONCCCCCCCHHHHHH/rB:;;;s3;d-4;s4;d+5s6;s5d-7;s1d2s4;s6;s7;s8;s9;s3;s3;/rC:5.7475,3.2263,0;3.08,3.2263,0;4.4137,-3.7038,0;4.4137,.9163,0;4.4137,-2.1638,0;3.08,.1463,0;5.7475,.1463,0;3.08,-1.3937,0;5.7475,-1.3937,0;4.4137,2.4563,0;2.2533,.6237,0;6.5744,.6237,0;2.2533,-1.8711,0;6.5744,-1.8711,0;3.5868,-4.1811,0;5.2407,-4.1811,0;
</t>
  </si>
  <si>
    <t xml:space="preserve">C00568</t>
  </si>
  <si>
    <t xml:space="preserve">4adcho[c]</t>
  </si>
  <si>
    <t xml:space="preserve">4-amino-4-deoxychorismate</t>
  </si>
  <si>
    <t xml:space="preserve">C10H10NO5</t>
  </si>
  <si>
    <t xml:space="preserve">InChI=1/C10H11NO5/c1-5(9(12)13)16-8-4-6(10(14)15)2-3-7(8)11/h2-4,7-8H,1,11H2,(H,12,13)(H,14,15)/p-1/t7-,8-/s2
AuxInfo=1/1/N:16,12,10,9,14,11,8,7,15,13,6,4,5,2,3,1/E:(12,13)(14,15)/rA:25OO-OO-ON+C.eC.eCCCCCCCCHHHHHHHHH/rB:;;;;;s1;s6s7;s7;s8;d-9;d-10s11;s2d3s11;s1;s4d5s14;d-14;s7;s8;s9;s10;s12;s6;s6;s16;s16;/rC:6.5744,1.3013,0;9.2417,-4.8587,0;10.5756,-2.5487,0;9.2417,4.3814,0;6.5744,4.3814,0;3.9069,-.2387,0;6.5744,-.2387,0;5.2407,-1.0087,0;7.9081,-1.0087,0;5.2407,-2.5487,0;7.9081,-2.5487,0;6.5744,-3.3187,0;9.2417,-3.3187,0;7.9081,2.0713,0;7.9081,3.6114,0;9.2417,1.3013,0;7.4013,.2387,0;5.2407,-.0539,0;8.7351,-.5313,0;4.4137,-3.0262,0;6.5744,-4.2735,0;3.08,-.7161,0;3.9069,.7161,0;9.2417,.3465,0;10.0688,1.7787,0;
</t>
  </si>
  <si>
    <t xml:space="preserve">C11355</t>
  </si>
  <si>
    <t xml:space="preserve">4ahmmp[c]</t>
  </si>
  <si>
    <t xml:space="preserve">4-Amino-5-hydroxymethyl-2-methylpyrimidine</t>
  </si>
  <si>
    <t xml:space="preserve">C6H9N3O</t>
  </si>
  <si>
    <t xml:space="preserve">InChI=1S/C6H9N3O/c1-4-8-2-5(3-10)6(7)9-4/h2,10H,3H2,1H3,(H2,7,8,9)
AuxInfo=1/1/N:10,8,7,9,5,6,4,3,2,1/rA:19ONNNCCCCCCHHHHHHHHH/rB:;;;;d+2s4s5;s1s5;s3d-5;s2d-3;s9;s7;s7;s8;s10;s10;s10;s4;s4;s1;/rC:3.9069,2.5487,0;6.5744,-2.0713,0;7.9081,.2387,0;3.9069,-2.0713,0;5.2407,.2387,0;5.2407,-1.3013,0;3.9069,1.0087,0;6.5744,1.0087,0;7.9081,-1.3013,0;9.2417,-2.0713,0;2.9667,1.1745,0;3.5805,.1114,0;6.5744,1.9635,0;8.7644,-2.8982,0;10.0688,-2.5487,0;9.7192,-1.2445,0;3.9069,-3.0262,0;3.08,-1.5939,0;3.08,3.0262,0;
</t>
  </si>
  <si>
    <t xml:space="preserve">C01279</t>
  </si>
  <si>
    <t xml:space="preserve">4ampm[c]</t>
  </si>
  <si>
    <t xml:space="preserve">4-Amino-2-methyl-5-phosphomethylpyrimidine</t>
  </si>
  <si>
    <t xml:space="preserve">C6H8N3O4P</t>
  </si>
  <si>
    <t xml:space="preserve">InChI=1S/C6H10N3O4P/c1-4-8-2-5(6(7)9-4)3-13-14(10,11)12/h2H,3H2,1H3,(H2,7,8,9)(H2,10,11,12)/p-2
AuxInfo=1/1/N:14,12,10,13,9,11,8,7,6,3,4,5,2,1/E:(10,11,12)/rA:22POO-O-ONNNCCCCCCHHHHHHHH/rB:s1;s1;s1;d1;;;;;s2s9;d+6s8s9;s7d+9;s6d-7;s13;s10;s10;s12;s14;s14;s14;s8;s8;/rC:4.4137,2.31,0;5.7475,1.54,0;3.08,3.08,0;5.1837,3.6437,0;3.6437,.9765,0;8.4149,-3.08,0;9.7485,-.77,0;5.7475,-3.08,0;7.0812,-.77,0;5.7475,0,0;7.0812,-2.31,0;8.4149,0,0;9.7485,-2.31,0;11.0824,-3.08,0;4.8072,.1659,0;5.421,-.8973,0;8.4149,.9548,0;10.6049,-3.9069,0;11.9091,-3.5575,0;11.5599,-2.2533,0;5.7475,-4.0348,0;4.9205,-2.6027,0;
</t>
  </si>
  <si>
    <t xml:space="preserve">C04556</t>
  </si>
  <si>
    <t xml:space="preserve">4c2me[c]</t>
  </si>
  <si>
    <t xml:space="preserve">4-Cytidine_5'-diphospho-2-C-methyl-D-erythritol</t>
  </si>
  <si>
    <t xml:space="preserve">C14H23N3O14P2</t>
  </si>
  <si>
    <t xml:space="preserve">InChI=1/C14H25N3O14P2/c1-14(23,6-18)8(19)5-29-33(26,27)31-32(24,25)28-4-7-10(20)11(21)12(30-7)17-3-2-9(15)16-13(17)22/h2-3,7-8,10-12,18-21,23H,4-6H2,1H3,(H,24,25)(H,26,27)(H2,15,16,22)/p-2/t7-,8-,10-,11-,12-,14+/s2
AuxInfo=1/1/N:32,29,25,24,30,31,22,28,33,20,21,23,26,27,19,18,17,14,11,4,5,10,9,12,13,15,16,6,8,3,7,1,2/E:(24,25)(26,27)/rA:56PPOOOOOOOOOO-OOO-ONNNC.eC.oC.eC.eCCCC.oC.eCCCCCHHHHHHHHHHHHHHHHHHHHHHH/rB:;;;;s1;s1s2;s2;;;;s1;d1;;s2;d2;;;;s4;s5s20;s3s20;s3s17s21;s6s22;s17;d10s17s18;s9;s11s27;d-25;s8s28;s14s27;s27;d+18s19s29;s20;s21;s22;s23;s24;s24;s4;s5;s25;s28;s29;s30;s30;s31;s31;s32;s32;s32;s9;s11;s19;s19;s14;/rC:10.6122,-3.113,0;13.0489,-4.1979,0;7.7461,.6825,0;4.825,-2.0281,0;3.7897,1.1585,0;9.707,-1.8672,0;11.5175,-4.3589,0;14.5805,-4.037,0;19.1686,-5.4626,0;3.8328,3.1276,0;17.6439,-3.715,0;11.8582,-2.2077,0;9.3664,-4.0182,0;20.3594,-7.4529,0;13.21,-5.7295,0;12.888,-2.6663,0;6.5001,3.1276,0;5.1666,5.4378,0;6.5001,7.748,0;5.7301,-.7821,0;5.2543,.6825,0;7.2701,-.7821,0;6.5001,1.5878,0;8.1754,-2.0281,0;7.8338,3.8976,0;5.1666,3.8976,0;17.9226,-6.3679,0;17.0175,-5.1218,0;7.8338,5.4378,0;15.4859,-5.2829,0;18.8278,-7.6138,0;16.6768,-7.2729,0;6.5001,6.2078,0;4.7873,-.6328,0;4.5791,.0075,0;8.2133,-.6328,0;5.6495,2.0212,0;7.3173,-2.4466,0;8.4386,-2.946,0;5.2134,-2.9004,0;3.08,.5195,0;8.6608,3.4205,0;17.967,-5.0221,0;8.6608,5.9153,0;14.6278,-5.7015,0;15.7491,-6.2009,0;17.9697,-8.0323,0;19.091,-8.5316,0;16.1155,-6.5007,0;15.9042,-7.8342,0;17.2379,-8.0455,0;20.0409,-5.8511,0;18.5935,-3.6152,0;7.3272,8.2253,0;5.6734,8.2253,0;20.9207,-8.2253,0;
</t>
  </si>
  <si>
    <t xml:space="preserve">C11435</t>
  </si>
  <si>
    <t xml:space="preserve">4hba[c]</t>
  </si>
  <si>
    <t xml:space="preserve">4-Hydroxybenzyl_alcohol</t>
  </si>
  <si>
    <t xml:space="preserve">C7H8O2</t>
  </si>
  <si>
    <t xml:space="preserve">InChI=1S/C7H8O2/c8-5-6-1-3-7(9)4-2-6/h1-4,8-9H,5H2
AuxInfo=1/0/N:4,8,5,7,2,3,6,1,9/E:(1,2)(3,4)/rA:9OCCCCCCCO/rB:s1;s2;d+3;s4;d-5;s6;s3d-7;s6;/rC:0,4.62,0;1.3337,3.85,0;1.3337,2.31,0;2.6673,1.54,0;2.6673,0,0;1.3337,-.77,0;;0,1.54,0;1.3337,-2.31,0;
</t>
  </si>
  <si>
    <t xml:space="preserve">4hba[e]</t>
  </si>
  <si>
    <t xml:space="preserve">Extra-organism</t>
  </si>
  <si>
    <t xml:space="preserve">4hba[p]</t>
  </si>
  <si>
    <t xml:space="preserve">Periplasm</t>
  </si>
  <si>
    <t xml:space="preserve">4hbz[c]</t>
  </si>
  <si>
    <t xml:space="preserve">4-Hydroxybenzoate</t>
  </si>
  <si>
    <t xml:space="preserve">C7H5O3</t>
  </si>
  <si>
    <t xml:space="preserve">InChI=1S/C7H6O3/c8-6-3-1-5(2-4-6)7(9)10/h1-4,8H,(H,9,10)/p-1
AuxInfo=1/1/N:5,6,8,9,4,7,10,1,2,3/E:(1,2)(3,4)(9,10)/rA:10OO-OCCCCCCC/rB:;;;d-4;s4;s1;s5d+7;d-6s7;s2d3s4;/rC:4.4137,-3.7038,0;5.7475,3.2263,0;3.08,3.2263,0;4.4137,.9163,0;3.08,.1463,0;5.7475,.1463,0;4.4137,-2.1638,0;3.08,-1.3937,0;5.7475,-1.3937,0;4.4137,2.4563,0;
</t>
  </si>
  <si>
    <t xml:space="preserve">C00156</t>
  </si>
  <si>
    <t xml:space="preserve">4mhetz[c]</t>
  </si>
  <si>
    <t xml:space="preserve">5-2-Hydroxyethyl-4-methylthiazole</t>
  </si>
  <si>
    <t xml:space="preserve">C6H9NOS</t>
  </si>
  <si>
    <t xml:space="preserve">InChI=1S/C6H9NOS/c1-5-6(2-3-8)9-4-7-5/h4,8H,2-3H2,1H3
AuxInfo=1/0/N:8,4,7,9,6,5,3,2,1/rA:18SONCCCCCCHHHHHHHHH/rB:;;;s1s4;s3d-5;s2s4;s6;s1d-3;s4;s4;s7;s7;s8;s8;s8;s9;s2;/rC:4.3258,-.5645,0;8.8213,-2.1174,0;3.5558,1.8054,0;7.0364,-.1351,0;5.5718,.3409,0;5.0958,1.8054,0;7.3565,-1.6415,0;6.0011,3.0514,0;3.08,.3409,0;7.9906,-.1017,0;7.1693,.8103,0;6.4025,-1.6748,0;7.2236,-2.5868,0;6.7736,2.4899,0;6.5623,3.8237,0;5.2287,3.6126,0;2.1719,.0457,0;9.0197,-3.0514,0;
</t>
  </si>
  <si>
    <t xml:space="preserve">C04294</t>
  </si>
  <si>
    <t xml:space="preserve">4mop[c]</t>
  </si>
  <si>
    <t xml:space="preserve">4-Methyl-2-oxopentanoate</t>
  </si>
  <si>
    <t xml:space="preserve">InChI=1S/C6H10O3/c1-4(2)3-5(7)6(8)9/h4H,3H2,1-2H3,(H,8,9)/p-1
AuxInfo=1/1/N:6,7,5,4,8,9,1,2,3/E:(1,2)(8,9)/rA:18OO-OCCCCCCHHHHHHHHH/rB:;;;s4;s4;s4;d1s5;s2d3s8;s4;s5;s5;s6;s6;s6;s7;s7;s7;/rC:7.0812,-1.9251,0;9.7485,-.3851,0;8.4149,1.9251,0;4.4137,-.3851,0;5.7475,.3851,0;3.08,.3851,0;4.4137,-1.9251,0;7.0812,-.3851,0;8.4149,.3851,0;4.4137,.5699,0;6.3612,1.1165,0;5.1337,1.1165,0;3.5575,1.2118,0;2.2533,.8624,0;2.6027,-.4418,0;3.4589,-1.9251,0;4.4137,-2.8799,0;5.3685,-1.9251,0;
</t>
  </si>
  <si>
    <t xml:space="preserve">C00233</t>
  </si>
  <si>
    <t xml:space="preserve">4mpetz[c]</t>
  </si>
  <si>
    <t xml:space="preserve">4-Methyl-5-2-phosphoethyl-thiazole</t>
  </si>
  <si>
    <t xml:space="preserve">C6H8NO4PS</t>
  </si>
  <si>
    <t xml:space="preserve">InChI=1S/C6H10NO4PS/c1-5-6(13-4-7-5)2-3-11-12(8,9)10/h4H,2-3H2,1H3,(H2,8,9,10)/p-2
AuxInfo=1/1/N:12,8,10,13,11,9,7,4,5,6,3,2,1/E:(8,9,10)/rA:21SPOO-O-ONCCCCCCHHHHHHHH/rB:;s2;s2;s2;d2;;;s1s8;s3s8;s7d-9;s11;s1d-7;s8;s8;s10;s10;s12;s12;s12;s13;/rC:4.3258,.6225,0;9.1414,-2.4367,0;8.8213,-.9305,0;9.4616,-3.9431,0;10.6478,-2.1166,0;7.635,-2.7569,0;3.5558,2.9923,0;7.0364,1.0519,0;5.5718,1.5277,0;7.3565,-.4545,0;5.0958,2.9923,0;6.0011,4.2383,0;3.08,1.5277,0;7.9906,1.0851,0;7.1693,1.9973,0;6.4025,-.4879,0;7.2236,-1.4,0;6.7736,3.677,0;6.5623,5.0107,0;5.2287,4.7994,0;2.1719,1.2326,0;
</t>
  </si>
  <si>
    <t xml:space="preserve">C04327</t>
  </si>
  <si>
    <t xml:space="preserve">4pasp[c]</t>
  </si>
  <si>
    <t xml:space="preserve">4-Phospho-L-aspartate</t>
  </si>
  <si>
    <t xml:space="preserve">C4H6NO7P</t>
  </si>
  <si>
    <t xml:space="preserve">InChI=1/C4H8NO7P/c5-2(4(7)8)1-3(6)12-13(9,10)11/h2H,1,5H2,(H,7,8)(H2,9,10,11)/p-2/t2-/s2
AuxInfo=1/1/N:11,10,12,13,9,4,3,5,6,7,8,2,1/E:(7,8)(9,10,11)/rA:13POO-OOO-O-ON+C.oCCC/rB:s1;;;;s1;s1;d1;;s9;s10;s2d4s11;s3d5s10;/rC:5.2407,-.1463,0;6.5744,.6237,0;13.2429,-.1463,0;7.9081,-1.6863,0;11.9091,2.1638,0;3.9069,-.9163,0;4.4707,1.1874,0;6.0107,-1.4799,0;10.5756,-1.6863,0;10.5756,-.1463,0;9.2417,.6237,0;7.9081,-.1463,0;11.9091,.6237,0;
</t>
  </si>
  <si>
    <t xml:space="preserve">C03082</t>
  </si>
  <si>
    <t xml:space="preserve">4per[c]</t>
  </si>
  <si>
    <t xml:space="preserve">D-erythronate_4-phosphate</t>
  </si>
  <si>
    <t xml:space="preserve">C4H6O8P</t>
  </si>
  <si>
    <t xml:space="preserve">InChI=1/C4H9O8P/c5-2(3(6)4(7)8)1-12-13(9,10)11/h2-3,5-6H,1H2,(H,7,8)(H2,9,10,11)/p-3
AuxInfo=1/1/N:12,10,11,13,3,4,5,8,6,7,9,2,1/E:(7,8)(9,10,11)/rA:19POOOO-O-O-OOCCCCHHHHHH/rB:s1;;;;s1;s1;;d1;s3;s4s10;s2s10;s5d8s11;s10;s11;s12;s12;s3;s4;/rC:5.2407,-.3851,0;6.5744,.3851,0;9.2417,1.9251,0;10.5756,-1.9251,0;13.2429,-.3851,0;3.9069,-1.1551,0;4.4707,.9486,0;11.9091,1.9251,0;6.0107,-1.7186,0;9.2417,.3851,0;10.5756,-.3851,0;7.9081,-.3851,0;11.9091,.3851,0;10.3755,1.0395,0;9.4418,-1.0395,0;7.2944,-1.1165,0;8.5217,-1.1165,0;10.0688,2.4024,0;11.4023,-2.4024,0;
</t>
  </si>
  <si>
    <t xml:space="preserve">C03393</t>
  </si>
  <si>
    <t xml:space="preserve">4ppan[c]</t>
  </si>
  <si>
    <t xml:space="preserve">Pantetheine_4'-phosphate</t>
  </si>
  <si>
    <t xml:space="preserve">C11H21N2O7PS</t>
  </si>
  <si>
    <t xml:space="preserve">InChI=1S/C11H23N2O7PS/c1-11(2,7-20-21(17,18)19)9(15)10(16)13-4-3-8(14)12-5-6-22/h9,15,22H,3-7H2,1-2H3,(H,12,14)(H,13,16)(H2,17,18,19)/p-2
AuxInfo=1/1/N:15,16,19,18,21,22,14,20,13,17,12,11,10,9,4,5,6,7,8,3,2,1/E:(1,2)(17,18,19)/rA:43SPOOOO-O-OONNCCCCCCCCCCCHHHHHHHHHHHHHHHHHHHHH/rB:;s2;;;s2;s2;d2;;;;;s4s12;s3s12;s12;s12;d5s10s13;s10;s18;d9s11s19;s11;s1s21;s13;s14;s14;s15;s15;s15;s16;s16;s16;s10;s4;s18;s18;s19;s19;s11;s21;s21;s22;s22;s1;/rC:22.5789,-.3419,0;5.2407,-1.1119,0;6.5744,-.3419,0;10.5756,1.9682,0;11.9092,-1.8819,0;3.9069,-1.8819,0;4.4707,.2218,0;6.0108,-2.4456,0;17.2441,-1.8819,0;13.2429,.4281,0;18.5777,.4281,0;9.2417,-.3419,0;10.5756,.4281,0;7.9081,-1.1119,0;8.4717,.9918,0;10.0118,-1.6756,0;11.9092,-.3419,0;14.5766,-.3419,0;15.9104,.4281,0;17.2441,-.3419,0;19.9114,-.3419,0;21.2452,.4281,0;9.7486,.9055,0;7.2944,-1.8433,0;8.5218,-1.8433,0;9.2987,1.4692,0;7.9943,1.8188,0;7.6449,.5144,0;9.1849,-2.153,0;10.4892,-2.5024,0;10.8388,-1.1981,0;13.2429,1.383,0;11.4024,2.4456,0;13.9629,-1.0732,0;15.1904,-1.0732,0;16.5241,1.1596,0;15.2965,1.1596,0;18.5777,1.383,0;19.2977,-1.0732,0;20.5253,-1.0732,0;21.8589,1.1596,0;20.6314,1.1596,0;23.4057,.1355,0;
</t>
  </si>
  <si>
    <t xml:space="preserve">C01134</t>
  </si>
  <si>
    <t xml:space="preserve">4ppcys[c]</t>
  </si>
  <si>
    <t xml:space="preserve">D-4'-Phosphopantothenoyl-L-cysteine</t>
  </si>
  <si>
    <t xml:space="preserve">C12H20N2O9PS</t>
  </si>
  <si>
    <t xml:space="preserve">InChI=1/C12H23N2O9PS/c1-12(2,6-23-24(20,21)22)9(16)10(17)13-4-3-8(15)14-7(5-25)11(18)19/h7,9,16,25H,3-6H2,1-2H3,(H,13,17)(H,14,15)(H,18,19)(H2,20,21,22)/p-3/t7-,9-/s2
AuxInfo=1/1/N:17,18,21,20,24,16,23,22,15,19,25,14,12,13,9,4,5,10,11,6,7,8,3,2,1/E:(1,2)(18,19)(20,21,22)/rA:45SPOOOO-O-OOO-ONNCC.oCCCCCCCC.eCCHHHHHHHHHHHHHHHHHHHH/rB:;s2;;;s2;s2;d2;;;;;;;s4s14;s3s14;s14;s14;d5s12s15;s12;s20;d9s13s21;s13;s1s23;s10d11s23;s15;s16;s16;s18;s18;s17;s17;s17;s18;s12;s4;s20;s20;s21;s21;s23;s13;s24;s24;s1;/rC:21.2453,-2.0713,0;5.2407,-.5313,0;6.5744,.2387,0;10.5756,2.5487,0;11.9091,-1.3013,0;3.9069,-1.3013,0;4.4707,.8023,0;6.0107,-1.865,0;17.2441,-1.3013,0;22.5788,.2387,0;21.2453,2.5487,0;13.2429,1.0087,0;18.5778,1.0087,0;9.2417,.2387,0;10.5756,1.0087,0;7.9081,-.5313,0;8.4717,1.5723,0;10.0117,-1.095,0;11.9091,.2387,0;14.5766,.2387,0;15.9103,1.0087,0;17.2441,.2387,0;19.9114,.2387,0;19.9114,-1.3013,0;21.2453,1.0087,0;9.7485,1.4861,0;7.2944,-1.2626,0;8.5217,-1.2626,0;9.1849,-1.5723,0;10.4892,-1.9219,0;9.2988,2.0498,0;7.9944,2.3994,0;7.6449,1.095,0;10.8388,-.6175,0;13.2429,1.9635,0;11.4023,3.0262,0;13.9629,-.4926,0;15.1904,-.4926,0;16.5241,1.7403,0;15.2966,1.7403,0;19.0846,-.2387,0;18.5778,1.9635,0;18.9713,-1.1355,0;19.5849,-2.1986,0;21.2453,-3.0262,0;
</t>
  </si>
  <si>
    <t xml:space="preserve">C04352</t>
  </si>
  <si>
    <t xml:space="preserve">4r5au[c]</t>
  </si>
  <si>
    <t xml:space="preserve">4-1-D-Ribitylamino-5-amino-2,6-dihydroxypyrimidine</t>
  </si>
  <si>
    <t xml:space="preserve">C9H16N4O6</t>
  </si>
  <si>
    <t xml:space="preserve">InChI=1/C9H16N4O6/c10-5-7(12-9(19)13-8(5)18)11-1-3(15)6(17)4(16)2-14/h3-4,6,14-17H,1-2,10H2,(H3,11,12,13,18,19)/t3-,4+,6-/s2
AuxInfo=1/1/N:14,15,12,13,17,11,16,18,19,10,7,8,9,4,2,3,1,5,6/rA:35OOOOOONNNNC.eC.oC.eCCCCCCHHHHHHHHHHHHHHHH/rB:;;;;;;;;;s1;s2s11;s3s11;s7s12;s4s13;s7s8;s10d-16;d5s9s17;d6s8s9;s11;s12;s13;s14;s14;s15;s15;s7;s1;s2;s3;s8;s4;s9;s10;s10;/rC:7.9081,-2.9876,0;5.2407,.0924,0;3.9069,-2.2176,0;3.9069,-5.2978,0;10.5756,6.2526,0;13.2429,1.6324,0;7.9081,1.6324,0;10.5756,1.6324,0;11.9091,3.9424,0;7.9081,4.7126,0;6.5744,-2.2176,0;6.5744,-.6776,0;5.2407,-2.9876,0;7.9081,.0924,0;5.2407,-4.5278,0;9.2417,2.4024,0;9.2417,3.9424,0;10.5756,4.7126,0;11.9091,2.4024,0;6.5744,-3.1724,0;6.5744,.2772,0;5.2407,-2.0328,0;8.2348,-.8049,0;8.8484,.2583,0;5.5671,-5.4249,0;6.1809,-4.3618,0;7.0812,2.1099,0;7.9081,-3.9424,0;4.4137,-.3851,0;3.08,-2.6951,0;10.5756,.6776,0;3.9069,-6.2526,0;12.7361,4.4199,0;7.9081,5.6674,0;7.0812,4.2351,0;
</t>
  </si>
  <si>
    <t xml:space="preserve">C04732</t>
  </si>
  <si>
    <t xml:space="preserve">5a65pilamura[c]</t>
  </si>
  <si>
    <t xml:space="preserve">5-Amino-6-5'-phosphoribitylaminouracil</t>
  </si>
  <si>
    <t xml:space="preserve">C9H15N4O9P</t>
  </si>
  <si>
    <t xml:space="preserve">C04454</t>
  </si>
  <si>
    <t xml:space="preserve">5aizc[c]</t>
  </si>
  <si>
    <t xml:space="preserve">5-amino-1-5-phospho-D-ribosylimidazole-4-carboxylate</t>
  </si>
  <si>
    <t xml:space="preserve">C9H11N3O9P</t>
  </si>
  <si>
    <t xml:space="preserve">InChI=1/C9H14N3O9P/c10-7-4(9(15)16)11-2-12(7)8-6(14)5(13)3(21-8)1-20-22(17,18)19/h2-3,5-6,8,13-14H,1,10H2,(H,15,16)(H2,17,18,19)/p-2/t3-,5-,6-,8-/s2
AuxInfo=1/1/N:18,20,17,21,15,14,19,16,22,13,12,11,4,3,9,10,6,7,8,5,2,1/E:(15,16)(17,18,19)/rA:33POOOOO-O-OO-ONN+NC.oC.eC.eC.eCCCCCHHHHHHHHHHH/rB:;;;s1;s1;s1;d1;;;;;;s3;s4s14;s2s11s14;s2s15;s5s17;s11s13;s11d-12;s12d-19;s9d10s21;s14;s15;s16;s17;s18;s18;s3;s4;s20;s13;s13;/rC:10.612,-5.395,0;7.7459,-1.5994,0;3.7897,-1.1235,0;4.8248,-4.3099,0;9.7069,-4.149,0;11.5173,-6.6409,0;11.8578,-4.4897,0;9.3662,-6.3002,0;7.549,5.8684,0;9.7069,4.3004,0;6.5001,.8458,0;5.7301,3.2155,0;9.2107,1.2751,0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
</t>
  </si>
  <si>
    <t xml:space="preserve">C04751</t>
  </si>
  <si>
    <t xml:space="preserve">5aop[c]</t>
  </si>
  <si>
    <t xml:space="preserve">5-Aminolevulinate</t>
  </si>
  <si>
    <t xml:space="preserve">C5H9NO3</t>
  </si>
  <si>
    <t xml:space="preserve">InChI=1S/C5H9NO3/c6-3-4(7)1-2-5(8)9/h1-3,6H2,(H,8,9)
AuxInfo=1/1/N:5,6,8,7,9,4,1,2,3/E:(8,9)/rA:17OO-ON+CCCCCHHHHHHHH/rB:;;;;s5;d1s5;s4s7;s2d3s6;s5;s5;s6;s6;s8;s8;s4;s4;/rC:6.5744,-1.9251,0;11.9091,-.3851,0;10.5756,1.9251,0;3.9069,-.3851,0;7.9081,.3851,0;9.2417,-.3851,0;6.5744,-.3851,0;5.2407,.3851,0;10.5756,.3851,0;8.5217,1.1165,0;7.2944,1.1165,0;8.6281,-1.1165,0;9.8556,-1.1165,0;5.8544,1.1165,0;4.6269,1.1165,0;3.08,.0924,0;3.9069,-1.3399,0;
</t>
  </si>
  <si>
    <t xml:space="preserve">C00430</t>
  </si>
  <si>
    <t xml:space="preserve">5apru[c]</t>
  </si>
  <si>
    <t xml:space="preserve">5-Amino-6-5'-phosphoribosylaminouracil</t>
  </si>
  <si>
    <t xml:space="preserve">C9H13N4O9P</t>
  </si>
  <si>
    <t xml:space="preserve">InChI=1S/C9H15N4O9P/c10-3-6(12-9(17)13-7(3)16)11-8-5(15)4(14)2(22-8)1-21-23(18,19)20/h2,4-5,8,14-15H,1,10H2,(H2,18,19,20)(H3,11,12,13,16,17)/p-2/t2-,4-,5-,8-/m1/s1
AuxInfo=1/1/N:19,17,21,15,16,20,22,18,23,14,11,12,13,3,4,9,10,6,7,8,5,2,1/E:(18,19,20)/it:im/rA:36POOOOO-O-OOONNNNC.eC.oC.eC.eCCCCCHHHHHHHHHHHHH/rB:;;;s1;s1;s1;d1;;;;;;;s3;s4s15;s2s15;s2s11s16;s5s17;s11s12;s14d-20;d9s13s21;d10s12s13;s15;s16;s17;s18;s19;s19;s11;s3;s4;s12;s13;s14;s14;/rC:8.4542,-5.1552,0;7.7459,.2081,0;4.8248,-2.5024,0;3.7897,.6841,0;7.549,-3.9093,0;9.3592,-6.401,0;7.2082,-6.0604,0;9.7,-4.25,0;9.1675,7.2733,0;11.8348,2.6533,0;6.5001,2.6533,0;9.1675,2.6533,0;10.5012,4.9633,0;6.5001,5.7333,0;5.7301,-1.2565,0;5.2542,.2081,0;7.2701,-1.2565,0;6.5001,1.1133,0;8.1753,-2.5024,0;7.8337,3.4233,0;7.8337,4.9633,0;9.1675,5.7333,0;10.5012,3.4233,0;6.1636,-2.1073,0;4.5791,-.4671,0;8.2132,-1.1071,0;5.6494,1.5468,0;8.9668,-3.0363,0;8.8386,-1.8157,0;5.6732,3.1307,0;3.8753,-2.4026,0;3.08,.0451,0;9.1675,1.6985,0;11.328,5.4407,0;6.5001,6.6881,0;5.6732,5.2559,0;
</t>
  </si>
  <si>
    <t xml:space="preserve">C01268</t>
  </si>
  <si>
    <t xml:space="preserve">5fthf[c]</t>
  </si>
  <si>
    <t xml:space="preserve">5-Formyltetrahydrofolate</t>
  </si>
  <si>
    <t xml:space="preserve">InChI=1/C20H23N7O7/c21-20-25-16-15(18(32)26-20)27(9-28)12(8-23-16)7-22-11-3-1-10(2-4-11)17(31)24-13(19(33)34)5-6-14(29)30/h1-4,9,12-13,22H,5-8H2,(H,24,31)(H,29,30)(H,33,34)(H4,21,23,25,26,32)/p-2
AuxInfo=1/1/N:29,30,24,25,27,32,17,16,21,28,22,15,26,34,18,19,31,20,33,23,14,10,9,13,11,12,8,2,6,7,3,1,4,5/E:(1,2)(3,4)(29,30)(33,34)/rA:55OOOO-OO-ONNNNNNNCCCCCCCCCCCCCCCCCCCCHHHHHHHHHHHHHHHHHHHHH/rB:;;;;;;;;;;;;;s8;s9s15;s10s15;s8;s9s11d-18;d1s12s18;d2s8;s10;s11d-12s14;d+22;s22;s13;s26;;s24d-28;d-25s28;d3s13s28;s27;s4d5s26;s6d7s32;s15;s16;s16;s17;s17;s9;s10;s11;s21;s26;s24;s25;s27;s27;s29;s30;s13;s32;s32;s14;s14;/rC:21.2703,.305,0;17.2441,-.4116,0;9.2417,-1.9516,0;3.9069,-.4116,0;5.2407,1.8984,0;3.9069,-5.0318,0;6.5744,-5.0318,0;18.5778,1.8984,0;18.5778,4.9784,0;14.5766,2.6684,0;21.2882,5.032,0;22.6835,2.6363,0;7.9081,.3584,0;24.0143,5.0155,0;17.2441,2.6684,0;17.2441,4.2084,0;15.9103,1.8984,0;19.9114,2.6684,0;19.9114,4.2084,0;21.2882,1.845,0;18.5778,.3584,0;13.2429,1.8984,0;22.6835,4.2405,0;11.9091,2.6684,0;13.2429,.3584,0;6.5744,-.4116,0;6.5744,-1.9516,0;10.5756,.3584,0;10.5756,1.8984,0;11.9091,-.4116,0;9.2417,-.4116,0;5.2407,-2.7218,0;5.2407,.3584,0;5.2407,-4.2618,0;17.2441,1.7136,0;16.9174,5.1057,0;16.3037,4.0426,0;15.2966,1.1669,0;16.5241,1.1669,0;18.5778,5.9332,0;14.5766,3.6232,0;21.2772,5.9866,0;19.4047,-.1191,0;6.5744,.5432,0;11.9091,3.6232,0;14.0698,-.1191,0;6.9009,-2.8489,0;7.5148,-1.7858,0;9.7485,2.3759,0;11.9091,-1.3664,0;7.9081,1.3132,0;4.9142,-1.8245,0;4.3004,-2.8875,0;24.8431,4.5414,0;24.0107,5.9703,0;
</t>
  </si>
  <si>
    <t xml:space="preserve">C03479</t>
  </si>
  <si>
    <t xml:space="preserve">5mta[c]</t>
  </si>
  <si>
    <t xml:space="preserve">5'-Methylthioadenosine</t>
  </si>
  <si>
    <t xml:space="preserve">C11H15N5O3S</t>
  </si>
  <si>
    <t xml:space="preserve">InChI=1/C11H15N5O3S/c1-20-2-5-7(17)8(18)11(19-5)16-4-15-6-9(12)13-3-14-10(6)16/h3-5,7-8,11,17-18H,2H2,1H3,(H2,12,13,14)/t5-,7-,8-,11-/s2
AuxInfo=1/1/N:19,14,20,16,13,17,11,10,18,15,12,9,8,7,6,5,4,3,2,1/rA:35SOOONNNNNC.oC.eC.eC.eCCCCCCCHHHHHHHHHHHHHHH/rB:;;;;;;;;s3;s4s10;s2s5s10;s2s11;s1s13;s5d+7;s5d-6;s6s15;s8s9d+17;s1;s7d-8;s10;s11;s12;s13;s14;s14;s3;s4;s16;s19;s19;s19;s20;s9;s9;/rC:8.2466,4.9476,0;6.7801,1.0952,0;10.3929,-.5865,0;10.3988,2.764,0;7.2048,-1.6163,0;7.2048,-4.0949,0;4.4137,-1.3154,0;3.08,-3.6256,0;4.4137,-5.9356,0;9.1485,.3209,0;9.1511,1.8611,0;7.683,-.1525,0;7.6873,2.3395,0;7.2141,3.8048,0;5.7475,-2.0854,0;8.1036,-2.8554,0;5.7475,-3.6256,0;4.4137,-4.3956,0;7.7732,6.4129,0;3.08,-2.0854,0;10.0001,.753,0;10.0012,1.4261,0;8.3571,-.8286,0;6.7446,2.4903,0;6.6276,4.5584,0;6.3702,3.3581,0;11.2659,-.1995,0;11.2702,2.374,0;9.0584,-2.8554,0;8.6819,6.7066,0;7.4795,7.3216,0;6.8645,6.1195,0;2.2533,-1.6081,0;3.5868,-6.4129,0;5.2407,-6.4129,0;
</t>
  </si>
  <si>
    <t xml:space="preserve">C00170</t>
  </si>
  <si>
    <t xml:space="preserve">5mthf[c]</t>
  </si>
  <si>
    <t xml:space="preserve">5-Methyltetrahydrofolate</t>
  </si>
  <si>
    <t xml:space="preserve">C20H23N7O6</t>
  </si>
  <si>
    <t xml:space="preserve">InChI=1/C20H25N7O6/c1-27-12(9-23-16-15(27)18(31)26-20(21)25-16)8-22-11-4-2-10(3-5-11)17(30)24-13(19(32)33)6-7-14(28)29/h2-5,12-13,22H,6-9H2,1H3,(H,24,30)(H,28,29)(H,32,33)(H4,21,23,25,26,31)/p-2/t12?,13-/s2
AuxInfo=1/1/N:19,28,29,23,24,27,31,16,15,26,21,14,25,33,17,18,30,20,32,22,13,9,8,12,10,11,7,5,6,2,1,3,4/E:(2,3)(4,5)(28,29)(32,33)/rA:33OOO-OO-ONNNNNNNCCCCCCCCCCCC.eCCCCCCCC/rB:;;;;;;;;;;;;s7;s8s14;s9s14;s7;s8s10d-17;s7;d1s11s17;s9;s10d-11s13;d+21;s21;s12;;s25;s23d-26;d-24s26;d2s12s26;s27;s3d4s25;s5d6s31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9.2669,-.3468,0;6.5744,-1.94,0;14.6782,-1.8926,0;5.2407,-4.2502,0;16.0147,-2.6574,0;14.6722,-.3524,0;21.3377,.4431,0;17.3395,-.3423,0;21.3317,1.9831,0;17.3454,-1.8823,0;16.0029,.4226,0;18.6702,.4329,0;22.6625,2.7584,0;22.6742,-.3216,0;22.6565,4.2984,0;
</t>
  </si>
  <si>
    <t xml:space="preserve">C00440</t>
  </si>
  <si>
    <t xml:space="preserve">5mthglu[c]</t>
  </si>
  <si>
    <t xml:space="preserve">5-Methyltetrahydropteroyltri-L-glutamate</t>
  </si>
  <si>
    <t xml:space="preserve">C25H36N8O12</t>
  </si>
  <si>
    <t xml:space="preserve">InChI=1S/C25H36N8O12/c1-10(43-22(40)11(26)3-6-15(34)35)19(44-23(41)12(27)4-7-16(36)37)14-9-30-20-18(33(14)2)21(32-25(29)31-20)45-24(42)13(28)5-8-17(38)39/h9-13,19H,3-8,26-28H2,1-2H3,(H,34,35)(H,36,37)(H,38,39)(H3,29,30,31,32)/t10?,11-,12-,13-,19?/m0/s1
AuxInfo=1/1/N:26,28,35,34,40,37,36,42,25,22,31,29,39,23,44,43,45,24,21,27,32,33,30,41,38,18,17,20,19,14,15,16,13,8,10,7,9,11,12,5,4,6,2,1,3/E:(34,35)(36,37)(38,39)/it:im/rA:78OOOOOOO-O-OOO-ONNNNN+N+NN+CCCCCCCCC.oCC.oCCCCCCCC.eCCCCCCHHHHHHHHHHHHHHHHHHHHHHHHHHHHHHHHH/rB:;;;;;;;;;;;;;;;;;;;s1;s2s21;s13s21;s13;s14d-23;s22;s14d+15s24;s13;s17;s1d4s29;s18;s3s16d-24;s2d5s31;s29;s31;s34;s35;s15d-16s19;s20;s39;s3d6s39;s40;s7d9s36;s8d10s37;s11d12s42;s21;s22;s25;s26;s26;s26;s14;s28;s28;s28;s29;s31;s34;s34;s35;s35;s36;s36;s37;s37;s17;s17;s39;s18;s18;s40;s40;s42;s42;s19;s19;s20;s20;/rC:10.5756,2.5722,0;10.5756,-.5079,0;17.2692,.2088,0;9.2417,.2621,0;11.9092,-2.818,0;19.9365,.178,0;5.2407,7.1923,0;3.9069,-2.818,0;7.9081,7.1923,0;5.2407,-.5079,0;15.8554,-6.7053,0;14.5485,-4.38,0;14.5766,1.8021,0;14.5766,4.8822,0;17.287,4.9357,0;18.6825,2.5401,0;6.5744,1.8021,0;9.2417,-4.358,0;20.0132,4.9195,0;19.9009,-2.9019,0;11.9092,1.8021,0;11.9092,.2621,0;13.2429,2.5722,0;15.9104,2.5722,0;13.2429,4.1122,0;13.2429,-.5079,0;15.9104,4.1122,0;14.5766,.2621,0;7.9081,2.5722,0;9.2417,1.8021,0;9.2417,-2.818,0;17.287,1.7489,0;10.5756,-2.0479,0;7.9081,4.1122,0;7.9081,-2.0479,0;6.5744,4.8822,0;6.5744,-2.818,0;18.6825,4.1442,0;18.5762,-2.1165,0;17.2336,-2.8709,0;18.5939,-.5764,0;17.2159,-4.411,0;6.5744,6.4222,0;5.2407,-2.0479,0;15.8733,-5.1654,0;11.9092,2.757,0;11.9092,-.6927,0;12.4161,4.5896,0;12.7655,-1.3347,0;14.0697,-.9853,0;13.7203,.3191,0;14.5766,5.837,0;13.6218,.2621,0;14.5766,-.6927,0;15.5314,.2621,0;7.9081,1.6173,0;10.0687,-3.2954,0;8.8484,3.9465,0;8.2347,5.0094,0;8.5218,-1.3164,0;7.2944,-1.3164,0;5.6341,5.0481,0;6.2478,3.985,0;5.9607,-3.5493,0;7.1881,-3.5493,0;5.7474,2.2796,0;6.5744,.8473,0;18.5651,-3.0711,0;8.4149,-4.8354,0;10.0687,-4.8354,0;16.9174,-1.97,0;16.2914,-3.0259,0;17.5321,-5.3119,0;18.1579,-4.256,0;20.8419,4.4453,0;20.0095,5.8743,0;19.8898,-3.8566,0;20.7332,-2.434,0;
</t>
  </si>
  <si>
    <t xml:space="preserve">C04489</t>
  </si>
  <si>
    <t xml:space="preserve">5oxpro[c]</t>
  </si>
  <si>
    <t xml:space="preserve">5-Oxoproline</t>
  </si>
  <si>
    <t xml:space="preserve">C5H6NO3</t>
  </si>
  <si>
    <t xml:space="preserve">InChI=1/C5H7NO3/c7-4-2-1-3(6-4)5(8)9/h3H,1-2H2,(H,6,7)(H,8,9)
AuxInfo=1/1/N:1,2,3,4,5,6,7,8,9/E:(8,9)/rA:9CCCCCN+OOO-/rB:s1;s1;s2;s3;s3d-4;s4;d5;s5;/rC:1.8299,-.2899,0;2.3057,1.1749,0;.2899,-.2899,0;1.0599,2.08,0;-.6154,-1.5357,0;-.1861,1.1749,0;1.0599,3.62,0;.011,-2.9426,0;-2.1469,-1.3748,0;
</t>
  </si>
  <si>
    <t xml:space="preserve">C01879</t>
  </si>
  <si>
    <t xml:space="preserve">6hmhpt[c]</t>
  </si>
  <si>
    <t xml:space="preserve">6-Hydroxymethyl_dihydropterin</t>
  </si>
  <si>
    <t xml:space="preserve">C7H9N5O2</t>
  </si>
  <si>
    <t xml:space="preserve">InChI=1S/C7H9N5O2/c8-7-11-5-4(6(14)12-7)10-3(2-13)1-9-5/h13H,1-2H2,(H4,8,9,11,12,14)
AuxInfo=1/1/N:11,12,7,1,2,4,10,13,6,3,5,8,14,9/rA:23CCNCNNCNOCCCNOHHHHHHHHH/rB:d+1;s1;s1;s2;s2;d-3;s4;d4;d-5s8;s6s7;s7;s10;s12;s6;s8;s11;s11;s12;s12;s13;s13;s14;/rC:.3575,.5768,0;.3575,-.9632,0;-.9677,1.3421,0;1.6852,1.3421,0;1.6821,-1.7336,0;-.9595,-1.7313,0;-2.2979,.583,0;3.0119,.5736,0;2.0362,2.8329,0;3.0121,-.9639,0;-2.2999,-.9667,0;-3.3645,1.7056,0;4.3329,-1.7336,0;-3.1209,3.2325,0;-.9522,-3.2713,0;4.3462,1.3427,0;-3.1123,-2.2749,0;-3.8388,-1.0224,0;-4.4653,.6285,0;-4.8817,1.9703,0;4.3267,-3.2736,0;5.6696,-.9688,0;-1.6824,3.7826,0;
</t>
  </si>
  <si>
    <t xml:space="preserve">C01300</t>
  </si>
  <si>
    <t xml:space="preserve">6pgc[c]</t>
  </si>
  <si>
    <t xml:space="preserve">6-Phospho-D-gluconate</t>
  </si>
  <si>
    <t xml:space="preserve">C6H10O10P</t>
  </si>
  <si>
    <t xml:space="preserve">InChI=1/C6H13O10P/c7-2(1-16-17(13,14)15)3(8)4(9)5(10)6(11)12/h2-5,7-10H,1H2,(H,11,12)(H2,13,14,15)/p-3/t2-,3-,4+,5-/s2
AuxInfo=1/1/N:16,14,12,13,15,17,4,2,3,6,7,8,9,10,11,5,1/E:(11,12)(13,14,15)/rA:27POOOOOO-OO-O-OC.eC.eC.eC.oCCHHHHHHHHHH/rB:;;;s1;;;;s1;s1;d1;s2;s3s12;s4s12;s6s13;s5s14;s7d8s15;s12;s13;s14;s15;s16;s16;s2;s3;s4;s6;/rC:14.5766,.3851,0;9.2417,1.9251,0;7.9081,-1.9251,0;10.5756,-1.9251,0;13.2429,-.3851,0;6.5744,1.9251,0;3.9069,.3851,0;5.2407,-1.9251,0;15.9103,1.1551,0;15.3466,-.9486,0;13.8066,1.7186,0;9.2417,.3851,0;7.9081,-.3851,0;10.5756,-.3851,0;6.5744,.3851,0;11.9091,.3851,0;5.2407,-.3851,0;10.0688,.8624,0;8.7351,-.8624,0;9.7485,-.8624,0;7.4013,.8624,0;12.5229,1.1165,0;11.2956,1.1165,0;10.0688,2.4024,0;7.0812,-2.4024,0;11.4023,-2.4024,0;5.7475,2.4024,0;
</t>
  </si>
  <si>
    <t xml:space="preserve">C00345</t>
  </si>
  <si>
    <t xml:space="preserve">6pgl[c]</t>
  </si>
  <si>
    <t xml:space="preserve">D-Glucono-1,5-lactone_6-phosphate</t>
  </si>
  <si>
    <t xml:space="preserve">C6H9O9P</t>
  </si>
  <si>
    <t xml:space="preserve">InChI=1/C6H11O9P/c7-3-2(1-14-16(11,12)13)15-6(10)5(9)4(3)8/h2-5,7-9H,1H2,(H2,11,12,13)/p-2/t2-,3-,4+,5-/s2
AuxInfo=1/1/N:15,12,11,13,14,16,3,4,6,7,8,9,10,5,2,1/E:(11,12,13)/rA:25POOOOOOO-O-OC.oC.eC.eC.oCCHHHHHHHHH/rB:;;;s1;;;s1;s1;d1;s3;s2s11;s4s11;s6s13;s5s12;s2d7s14;s11;s12;s13;s14;s15;s15;s3;s4;s6;/rC:10.5756,2.8414,0;6.5744,.5313,0;9.2417,-2.5487,0;6.5744,-4.0887,0;9.2417,2.0713,0;3.9069,-2.5487,0;3.9069,.5313,0;11.9091,3.6114,0;9.8056,4.175,0;11.3456,1.5077,0;7.9081,-1.7787,0;7.9081,-.2387,0;6.5744,-2.5487,0;5.2407,-1.7787,0;9.2417,.5313,0;5.2407,-.2387,0;7.9081,-2.7335,0;7.9081,.7161,0;7.4013,-3.0262,0;5.2407,-2.7335,0;9.5683,-.3659,0;10.1821,.6972,0;10.0688,-2.0713,0;5.7475,-4.5662,0;3.08,-2.0713,0;
</t>
  </si>
  <si>
    <t xml:space="preserve">C01236</t>
  </si>
  <si>
    <t xml:space="preserve">8aonn[c]</t>
  </si>
  <si>
    <t xml:space="preserve">8-Amino-7-oxononanoate</t>
  </si>
  <si>
    <t xml:space="preserve">C9H17NO3</t>
  </si>
  <si>
    <t xml:space="preserve">InChI=1/C9H17NO3/c1-7(10)8(11)5-3-2-4-6-9(12)13/h7H,2-6,10H2,1H3,(H,12,13)
AuxInfo=1/1/N:12,6,5,8,7,11,10,9,13,4,1,2,3/E:(12,13)/rA:29OO-ON+CCCCCCCCCHHHHHHHHHHHHHHHH/rB:;;;;s5;s5;s6;d1s7;s4s9;s8;s10;s2d3s11;s5;s5;s6;s6;s7;s7;s8;s8;s10;s11;s11;s12;s12;s12;s4;s4;/rC:6.5744,1.9251,0;15.9103,-.3851,0;14.5766,1.9251,0;3.9069,.3851,0;9.2417,.3851,0;10.5756,-.3851,0;7.9081,-.3851,0;11.9091,.3851,0;6.5744,.3851,0;5.2407,-.3851,0;13.2429,-.3851,0;5.2407,-1.9251,0;14.5766,.3851,0;9.8556,1.1165,0;8.6281,1.1165,0;9.9617,-1.1165,0;11.1894,-1.1165,0;7.2944,-1.1165,0;8.5217,-1.1165,0;12.5229,1.1165,0;11.2956,1.1165,0;5.2407,.924,0;12.6291,-1.1165,0;13.8566,-1.1165,0;4.2859,-1.9251,0;5.2407,-2.8799,0;6.1955,-1.9251,0;3.08,-.0924,0;3.9069,1.3399,0;
</t>
  </si>
  <si>
    <t xml:space="preserve">C01092</t>
  </si>
  <si>
    <t xml:space="preserve">ACP[c]</t>
  </si>
  <si>
    <t xml:space="preserve">ACP</t>
  </si>
  <si>
    <t xml:space="preserve">C11H21N2O7PRS</t>
  </si>
  <si>
    <t xml:space="preserve">C00229</t>
  </si>
  <si>
    <t xml:space="preserve">LtRNAglu[c]</t>
  </si>
  <si>
    <t xml:space="preserve">L-Glutamyl-tRNA_Glu</t>
  </si>
  <si>
    <t xml:space="preserve">R-3hptACP[c]</t>
  </si>
  <si>
    <t xml:space="preserve">R-3-hydroxypentanoyl-ACP</t>
  </si>
  <si>
    <t xml:space="preserve">C16H29N2O9PRS</t>
  </si>
  <si>
    <t xml:space="preserve">R-3hyeicACP[c]</t>
  </si>
  <si>
    <t xml:space="preserve">R-3-hydroxyeicosanoyl-ACP</t>
  </si>
  <si>
    <t xml:space="preserve">C31H59N2O9PRS</t>
  </si>
  <si>
    <t xml:space="preserve">R-3hyhepACP[c]</t>
  </si>
  <si>
    <t xml:space="preserve">R-3-hydroxyheptadecanoyl-ACP</t>
  </si>
  <si>
    <t xml:space="preserve">C28H53N2O9PRS</t>
  </si>
  <si>
    <t xml:space="preserve">RSH[c]</t>
  </si>
  <si>
    <t xml:space="preserve">R-SH</t>
  </si>
  <si>
    <t xml:space="preserve">CHS</t>
  </si>
  <si>
    <t xml:space="preserve">R[c]</t>
  </si>
  <si>
    <t xml:space="preserve">R</t>
  </si>
  <si>
    <t xml:space="preserve">C</t>
  </si>
  <si>
    <t xml:space="preserve">acACP[c]</t>
  </si>
  <si>
    <t xml:space="preserve">Acetyl-ACP</t>
  </si>
  <si>
    <t xml:space="preserve">C13H23N2O8PRS</t>
  </si>
  <si>
    <t xml:space="preserve">C03939</t>
  </si>
  <si>
    <t xml:space="preserve">ac[c]</t>
  </si>
  <si>
    <t xml:space="preserve">Acetate</t>
  </si>
  <si>
    <t xml:space="preserve">C2H3O2</t>
  </si>
  <si>
    <t xml:space="preserve">InChI=1S/C2H4O2/c1-2(3)4/h1H3,(H,3,4)/p-1
AuxInfo=1/1/N:3,4,1,2/E:(3,4)/rA:4O-OCC/rB:;;s1d2s3;/rC:5.7475,1.1551,0;4.4137,-1.1551,0;3.08,1.1551,0;4.4137,.3851,0;
</t>
  </si>
  <si>
    <t xml:space="preserve">C00033</t>
  </si>
  <si>
    <t xml:space="preserve">accoa[c]</t>
  </si>
  <si>
    <t xml:space="preserve">Acetyl-CoA</t>
  </si>
  <si>
    <t xml:space="preserve">C23H34N7O17P3S</t>
  </si>
  <si>
    <t xml:space="preserve">InChI=1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?,22-/s2
AuxInfo=1/1/N:51,40,41,46,45,48,49,33,39,44,35,50,31,47,36,30,29,38,42,34,43,32,37,26,28,27,25,24,23,22,21,20,7,14,18,9,10,13,15,16,17,19,8,12,5,6,11,2,3,4,1/E:(2,3)(36,37,38)(39,40)(41,42)/rA:51SPPPOOOOO-O-OOOOO-OO-OOOONNNNNNNC.oC.eC.oC.oCCCCCCCCCCCCCCCCCCC/rB:;;;;s2;;s3;s2;s2;s3s4;s4;d2;;s3;d3;s4;;d4;;;;;;;;;;s6;s7s29;s5s29;s5s22s30;s8s31;s22d+24;s22d-23;s23s34;;s14s37;s12s37;s37;s37;s25s26d+36;d18s27s38;s24d-25;s27;s45;d20s28s46;s28;s1s48;s1d21;s50;/rC:5.6183,11.5291,0;25.9836,-2.6087,0;20.9782,-1.3113,0;18.9989,.4767,0;22.5232,-5.8094,0;26.1419,-4.1405,0;26.1359,-7.4909,0;21.4515,-2.7769,0;25.8251,-1.0767,0;27.5154,-2.4504,0;20.5046,.154,0;17.4931,.7997,0;24.4517,-2.767,0;12.9758,1.7681,0;19.5126,-1.7847,0;22.4435,-.8381,0;19.3217,1.9826,0;14.5673,5.5188,0;18.676,-1.0289,0;10.609,9.0953,0;3.08,10.7093,0;22.9479,-8.5208,0;22.9479,-10.9991,0;20.157,-8.2199,0;18.8233,-10.5299,0;20.157,-12.8399,0;12.029,4.6988,0;8.0707,8.2753,0;24.8942,-5.0435,0;24.8916,-6.5835,0;23.4306,-4.5651,0;23.4263,-7.0569,0;22.9572,-3.0996,0;21.4906,-8.9899,0;23.8467,-9.7599,0;21.4906,-10.5299,0;15.5141,2.5878,0;14.0082,2.9107,0;17.0199,2.265,0;15.8368,4.0936,0;15.1911,1.0821,0;20.157,-11.2999,0;13.5348,4.376,0;18.8233,-8.9899,0;11.5558,6.1643,0;10.0499,6.487,0;9.5766,7.9526,0;7.5975,9.7408,0;6.0917,10.0636,0;4.1125,11.8518,0;3.6391,13.3174,0;
</t>
  </si>
  <si>
    <t xml:space="preserve">C00024</t>
  </si>
  <si>
    <t xml:space="preserve">acg5p[c]</t>
  </si>
  <si>
    <t xml:space="preserve">N-Acetyl-L-glutamate_5-phosphate</t>
  </si>
  <si>
    <t xml:space="preserve">C7H9NO8P</t>
  </si>
  <si>
    <t xml:space="preserve">InChI=1/C7H12NO8P/c1-4(9)8-5(7(11)12)2-3-6(10)16-17(13,14)15/h5H,2-3H2,1H3,(H,8,9)(H,11,12)(H2,13,14,15)/p-3/t5-/s2
AuxInfo=1/1/N:17,11,13,16,12,15,14,10,6,5,3,4,7,8,9,2,1/E:(11,12)(13,14,15)/rA:26POO-OOOO-O-ONCC.eCCCCCHHHHHHHHH/rB:s1;;;;;s1;s1;d1;;;s10s11;s11;s3d4s12;s2d5s13;d6s10;s16;s11;s11;s12;s13;s13;s10;s17;s17;s17;/rC:5.0979,-3.2265,0;5.0979,-1.6865,0;5.0979,2.934,0;6.4318,5.2442,0;7.7653,-1.6865,0;10.4332,1.3938,0;5.0979,-4.7667,0;3.5577,-3.2265,0;6.6381,-3.2265,0;9.0994,3.704,0;7.7653,1.3938,0;7.7653,2.934,0;6.4318,.6237,0;6.4318,3.704,0;6.4318,-.9163,0;10.4332,2.934,0;11.7669,3.704,0;8.092,.4965,0;8.7058,1.5598,0;7.7653,3.889,0;6.1051,1.5211,0;5.4912,.4579,0;9.0994,4.659,0;12.2444,2.8771,0;12.594,4.1815,0;11.2896,4.531,0;
</t>
  </si>
  <si>
    <t xml:space="preserve">C04133</t>
  </si>
  <si>
    <t xml:space="preserve">acg5sa[c]</t>
  </si>
  <si>
    <t xml:space="preserve">N-Acetyl-L-glutamate_5-semialdehyde</t>
  </si>
  <si>
    <t xml:space="preserve">C7H10NO4</t>
  </si>
  <si>
    <t xml:space="preserve">InChI=1/C7H11NO4/c1-5(10)8-6(7(11)12)3-2-4-9/h4,6H,2-3H2,1H3,(H,8,10)(H,11,12)/p-1/t6-/s2
AuxInfo=1/1/N:12,8,7,11,10,6,9,5,4,3,1,2/E:(11,12)/rA:22O-OOONC.eCCCCCCHHHHHHHHHH/rB:;;;;s5;s6;s7;s1d2s6;d3s5;d4s8;s10;s6;s7;s7;s8;s8;s5;s11;s12;s12;s12;/rC:3.9069,1.1551,0;5.2407,3.4651,0;9.2417,-.3851,0;3.9069,-3.4651,0;7.9081,1.9251,0;6.5744,1.1551,0;6.5744,-.3851,0;5.2407,-1.1551,0;5.2407,1.9251,0;9.2417,1.1551,0;5.2407,-2.6951,0;10.5756,1.9251,0;6.5744,2.1099,0;6.9009,-1.2822,0;7.5148,-.2191,0;4.9142,-.2578,0;4.3004,-1.3209,0;7.9081,2.8799,0;6.0676,-3.1724,0;11.0529,1.0982,0;11.4023,2.4024,0;10.0981,2.7518,0;
</t>
  </si>
  <si>
    <t xml:space="preserve">C01250</t>
  </si>
  <si>
    <t xml:space="preserve">acgam1p[c]</t>
  </si>
  <si>
    <t xml:space="preserve">N-Acetyl-D-Glucosamine_1-phosphate</t>
  </si>
  <si>
    <t xml:space="preserve">C8H14NO9P</t>
  </si>
  <si>
    <t xml:space="preserve">InChI=1/C8H16NO9P/c1-3(11)9-5-7(13)6(12)4(2-10)17-8(5)18-19(14,15)16/h4-8,10,12-13H,2H2,1H3,(H,9,11)(H2,14,15,16)/p-2/t4-,5-,6-,7-,8?/s2
AuxInfo=1/1/N:19,17,18,15,12,14,13,16,11,6,7,5,3,8,9,10,2,4,1/E:(14,15,16)/rA:33POOOOOOO-O-ONC.oC.oC.eC.eCCCCHHHHHHHHHHHHHH/rB:;;s1;;;;s1;s1;d1;;s11;s3s12;s5s13;s2s14;s2s4s12;s6s15;d7s11;s18;s12;s13;s14;s15;s16;s17;s17;s11;s3;s5;s6;s19;s19;s19;/rC:5.2407,.4775,0;7.9081,-1.0627,0;11.9091,1.2475,0;6.5744,1.2475,0;11.9091,-1.8327,0;7.9081,-4.1427,0;6.5744,2.7875,0;3.9069,-.2927,0;4.4707,1.811,0;6.0107,-.8562,0;9.2417,2.7875,0;9.2417,1.2475,0;10.5756,.4775,0;10.5756,-1.0627,0;9.2417,-1.8327,0;7.9081,.4775,0;9.2417,-3.3727,0;7.9081,3.5575,0;7.9081,5.0975,0;10.0688,1.7248,0;11.4023,0,0;11.4023,-.5852,0;8.4149,-2.31,0;7.9081,1.7864,0;9.5683,-4.2698,0;10.1821,-3.2067,0;10.0688,3.2648,0;12.7361,.77,0;11.9091,-2.7875,0;7.9081,-5.0975,0;8.8629,5.0975,0;7.9081,6.0523,0;6.9533,5.0975,0;
</t>
  </si>
  <si>
    <t xml:space="preserve">C04256</t>
  </si>
  <si>
    <t xml:space="preserve">acglu[c]</t>
  </si>
  <si>
    <t xml:space="preserve">N-Acetyl-L-glutamate</t>
  </si>
  <si>
    <t xml:space="preserve">C7H9NO5</t>
  </si>
  <si>
    <t xml:space="preserve">InChI=1/C7H11NO5/c1-4(9)8-5(7(12)13)2-3-6(10)11/h5H,2-3H2,1H3,(H,8,9)(H,10,11)(H,12,13)/p-2/t5-/s2
AuxInfo=1/1/N:13,8,9,11,7,12,10,6,4,3,5,1,2/E:(10,11)(12,13)/rA:22O-OO-OONC.eCCCCCCHHHHHHHHH/rB:;;;;;s6;s7;s8;s1d2s7;d4s6;s3d5s9;s11;s7;s8;s8;s9;s9;s6;s13;s13;s13;/rC:3.9069,1.6324,0;5.2407,3.9424,0;3.9069,-2.9876,0;9.2417,.0924,0;6.5744,-2.9876,0;7.9081,2.4024,0;6.5744,1.6324,0;6.5744,.0924,0;5.2407,-.6776,0;5.2407,2.4024,0;9.2417,1.6324,0;5.2407,-2.2176,0;10.5756,2.4024,0;6.5744,2.5872,0;6.9009,-.8049,0;7.5148,.2583,0;4.9142,.2195,0;4.3004,-.8435,0;7.9081,3.3572,0;11.0529,1.5757,0;11.4023,2.8799,0;10.0981,3.2293,0;
</t>
  </si>
  <si>
    <t xml:space="preserve">C00624</t>
  </si>
  <si>
    <t xml:space="preserve">achms[c]</t>
  </si>
  <si>
    <t xml:space="preserve">O-Acetyl-L-homoserine</t>
  </si>
  <si>
    <t xml:space="preserve">C6H11NO4</t>
  </si>
  <si>
    <t xml:space="preserve">InChI=1S/C6H11NO4/c1-4(8)11-3-2-5(7)6(9)10/h5H,2-3,7H2,1H3,(H,9,10)/t5-/m0/s1
AuxInfo=1/1/N:10,3,4,9,2,6,1,11,7,8,5/E:(9,10)/it:im/rA:11N+C.oCCOCO-OCCO/rB:s1;s2;s3;s4;s2;s6;d6;s5;s9;d9;/rC:5.541,2.31,0;5.541,.77,0;4.2073,0,0;2.8737,.77,0;1.54,0,0;6.8747,0,0;8.2085,.77,0;6.8747,-1.54,0;.2063,.77,0;-1.1273,0,0;.2063,2.31,0;
</t>
  </si>
  <si>
    <t xml:space="preserve">C01077</t>
  </si>
  <si>
    <t xml:space="preserve">acon-C[c]</t>
  </si>
  <si>
    <t xml:space="preserve">cis-Aconitate</t>
  </si>
  <si>
    <t xml:space="preserve">C6H3O6</t>
  </si>
  <si>
    <t xml:space="preserve">InChI=1S/C6H6O6/c7-4(8)1-3(6(11)12)2-5(9)10/h1H,2H2,(H,7,8)(H,9,10)(H,11,12)/p-3/b3-1-
AuxInfo=1/1/N:9,7,8,12,10,11,5,6,1,3,2,4/E:(7,8)(9,10)(11,12)/rA:15O-O-OOO-OCCCCCCHHH/rB:;;;;;;s7;d+8;s1d3s7;s2d4s8;s5d6s9;s7;s7;s9;/rC:7.9081,-3.7038,0;3.9069,.1463,0;9.2417,-1.3937,0;5.2407,2.4563,0;9.2417,3.2263,0;6.5744,3.2263,0;6.5744,-1.3937,0;6.5744,.1463,0;7.9081,.9163,0;7.9081,-2.1638,0;5.2407,.9163,0;7.9081,2.4563,0;5.634,-1.2279,0;6.2477,-2.291,0;8.7351,.4389,0;
</t>
  </si>
  <si>
    <t xml:space="preserve">C00417</t>
  </si>
  <si>
    <t xml:space="preserve">acorn[c]</t>
  </si>
  <si>
    <t xml:space="preserve">N2-Acetyl-L-ornithine</t>
  </si>
  <si>
    <t xml:space="preserve">C7H14N2O3</t>
  </si>
  <si>
    <t xml:space="preserve">InChI=1/C7H14N2O3/c1-5(10)9-6(7(11)12)3-2-4-8/h6H,2-4,8H2,1H3,(H,9,10)(H,11,12)/t6-/s2
AuxInfo=1/1/N:12,8,6,9,11,7,10,5,4,3,1,2/E:(11,12)/rA:12O-OONN+CC.oCCCCC/rB:;;;;;s4s6;s6;s5s8;s1d2s7;d3s4;s11;/rC:3.9069,1.6324,0;5.2407,3.9424,0;9.2417,.0924,0;7.9081,2.4024,0;3.9069,-2.9876,0;6.5744,.0924,0;6.5744,1.6324,0;5.2407,-.6776,0;5.2407,-2.2176,0;5.2407,2.4024,0;9.2417,1.6324,0;10.5756,2.4024,0;
</t>
  </si>
  <si>
    <t xml:space="preserve">C00437</t>
  </si>
  <si>
    <t xml:space="preserve">acser[c]</t>
  </si>
  <si>
    <t xml:space="preserve">O3-Acetyl-L-serine</t>
  </si>
  <si>
    <t xml:space="preserve">C5H9NO4</t>
  </si>
  <si>
    <t xml:space="preserve">InChI=1/C5H9NO4/c1-3(7)10-2-4(6)5(8)9/h4H,2,6H2,1H3,(H,8,9)/t4-/s2
AuxInfo=1/1/N:10,7,9,6,8,5,4,2,3,1/E:(8,9)/rA:18OO-OON+C.eCCCCHHHHHHHH/rB:;;;;s5;s1s6;s2d3s6;s1d4;s9;s6;s7;s7;s5;s5;s10;s10;s10;/rC:4.4137,-1.1551,0;8.4149,1.1551,0;7.0812,3.4651,0;5.7475,-3.4651,0;4.4137,1.9251,0;5.7475,1.1551,0;5.7475,-.3851,0;7.0812,1.9251,0;4.4137,-2.6951,0;3.08,-3.4651,0;5.7475,2.1099,0;6.0741,-1.2822,0;6.6877,-.2191,0;3.5868,1.4476,0;4.4137,2.8799,0;2.6027,-2.6382,0;2.2533,-3.9424,0;3.5575,-4.2918,0;
</t>
  </si>
  <si>
    <t xml:space="preserve">C00979</t>
  </si>
  <si>
    <t xml:space="preserve">actACP[c]</t>
  </si>
  <si>
    <t xml:space="preserve">Acetoacetyl-ACP</t>
  </si>
  <si>
    <t xml:space="preserve">C15H25N2O9PRS</t>
  </si>
  <si>
    <t xml:space="preserve">C05744</t>
  </si>
  <si>
    <t xml:space="preserve">ade[c]</t>
  </si>
  <si>
    <t xml:space="preserve">Adenine</t>
  </si>
  <si>
    <t xml:space="preserve">C5H5N5</t>
  </si>
  <si>
    <t xml:space="preserve">InChI=1S/C5H5N5/c6-4-3-5(9-1-7-3)10-2-8-4/h1-2H,(H3,6,7,8,9,10)
AuxInfo=1/1/N:9,10,6,8,7,5,1,4,2,3/rA:15NNNNNCCCCCHHHHH/rB:;;;;s1;s2d+3s6;s4s5d+6;s1d-2;s3d-4;s1;s9;s10;s5;s5;/rC:7.2048,.2305,0;7.2048,-2.248,0;4.4137,-2.5487,0;3.08,-.2387,0;4.4137,2.0713,0;5.7475,-.2387,0;5.7475,-1.7787,0;4.4137,.5313,0;8.1036,-1.0087,0;3.08,-1.7787,0;7.5014,1.1383,0;9.0584,-1.0087,0;2.2533,-2.2562,0;3.5868,2.5487,0;5.2407,2.5487,0;
</t>
  </si>
  <si>
    <t xml:space="preserve">C00147</t>
  </si>
  <si>
    <t xml:space="preserve">adn[c]</t>
  </si>
  <si>
    <t xml:space="preserve">Adenosine</t>
  </si>
  <si>
    <t xml:space="preserve">C10H13N5O4</t>
  </si>
  <si>
    <t xml:space="preserve">InChI=1/C10H13N5O4/c11-8-5-9(13-2-12-8)15(3-14-5)10-7(18)6(17)4(1-16)19-10/h2-4,6-7,10,16-18H,1H2,(H2,11,12,13)/t4-,6-,7-,10-/s2
AuxInfo=1/1/N:14,19,16,13,17,12,10,18,15,11,9,8,7,6,5,4,3,2,1/rA:32OOOONNNNNC.eC.eC.eC.eCCCCCCHHHHHHHHHHHHH/rB:;;;;;;;;s2;s1s5s10;s3s10;s1s12;s4s13;s5d+7;s5d-6;s6s15;s8s9d+17;s7d-8;s10;s11;s12;s13;s14;s14;s2;s3;s16;s4;s19;s9;s9;/rC:6.7801,1.3735,0;10.3929,-.308,0;10.3988,3.0425,0;8.2466,5.2259,0;7.2048,-1.3378,0;7.2048,-3.8166,0;4.4137,-1.0371,0;3.08,-3.3471,0;4.4137,-5.6571,0;9.1485,.5994,0;7.683,.126,0;9.1511,2.1394,0;7.6873,2.6178,0;7.2141,4.0833,0;5.7475,-1.8071,0;8.1036,-2.5771,0;5.7475,-3.3471,0;4.4137,-4.1171,0;3.08,-1.8071,0;10.0001,1.0313,0;8.3571,-.5503,0;10.0012,1.7045,0;6.7446,2.7688,0;6.6276,4.8367,0;6.3702,3.6365,0;11.2659,.0788,0;11.2702,2.6525,0;9.0584,-2.5771,0;7.9531,6.1346,0;2.2533,-1.3296,0;3.5868,-6.1346,0;5.2407,-6.1346,0;
</t>
  </si>
  <si>
    <t xml:space="preserve">C00212</t>
  </si>
  <si>
    <t xml:space="preserve">adp[c]</t>
  </si>
  <si>
    <t xml:space="preserve">ADP</t>
  </si>
  <si>
    <t xml:space="preserve">C10H12N5O10P2</t>
  </si>
  <si>
    <t xml:space="preserve">InChI=1/C10H15N5O10P2/c11-8-5-9(13-2-12-8)15(3-14-5)10-7(17)6(16)4(24-10)1-23-27(21,22)25-26(18,19)20/h2-4,6-7,10,16-17H,1H2,(H,21,22)(H2,11,12,13)(H2,18,19,20)/p-2/t4-,6-,7-,10-/s2
AuxInfo=1/1/N:22,27,24,21,25,19,18,26,23,20,17,16,15,14,13,5,4,10,11,12,8,9,6,3,7,2,1/E:(18,19,20)(21,22)/rA:27PPOOOOOO-OOO-ONNNNNC.eC.oC.oC.oCCCCCC/rB:;;;;s1;s1s2;s1;d1;s2;s2;d2;;;;;;s4;s5s18;s3s13s18;s3s19;s6s21;s13d+15;s13d-14;s14s23;s16s17d+25;s15d-16;/rC:7.7732,4.0831,0;8.3321,6.6914,0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
</t>
  </si>
  <si>
    <t xml:space="preserve">C00008</t>
  </si>
  <si>
    <t xml:space="preserve">adpglc[c]</t>
  </si>
  <si>
    <t xml:space="preserve">ADPglucose</t>
  </si>
  <si>
    <t xml:space="preserve">C16H23N5O15P2</t>
  </si>
  <si>
    <t xml:space="preserve">InChI=1/C16H25N5O15P2/c17-13-7-14(19-3-18-13)21(4-20-7)15-11(26)9(24)6(33-15)2-32-37(28,29)36-38(30,31)35-16-12(27)10(25)8(23)5(1-22)34-16/h3-6,8-12,15-16,22-27H,1-2H2,(H,28,29)(H,30,31)(H2,17,18,19)/p-2/t5-,6-,8-,9-,10+,11-,12-,15-,16-/s2
AuxInfo=1/1/N:33,31,38,35,30,25,36,28,23,27,24,29,37,34,26,32,22,21,20,19,18,13,10,5,9,6,11,14,16,15,17,7,3,4,8,12,1,2/E:(28,29)(30,31)/rA:61PPOOOOOOOOOOOO-O-OONNNNNC.eC.oC.eC.eC.eC.eC.oC.eCC.oCCCCCCHHHHHHHHHHHHHHHHHHHHHHH/rB:;;;;;s1;s2;;;;s1s2;;s1;s2;d1;d2;;;;;;s5;s6s23;s3s23;s3s18s24;s9;s10s27;s11s27;s4s28;s7s25;s4s8s29;s13s30;s18d+20;s18d-19;s19s34;s21s22d+36;s20d-21;s23;s24;s25;s26;s27;s28;s29;s30;s31;s31;s32;s33;s33;s5;s6;s35;s9;s10;s11;s13;s38;s22;s22;/rC:7.7732,1.2523,0;8.3321,3.8605,0;6.7801,-4.0654,0;9.9238,7.6113,0;10.3986,-2.3966,0;10.3929,-5.7471,0;8.2466,-.213,0;9.3647,5.0032,0;5.4064,8.5798,0;7.4713,10.8651,0;6.353,5.6487,0;7.2996,2.7179,0;11.9887,9.8967,0;9.2385,1.7257,0;7.1897,4.8929,0;6.3077,.7791,0;9.4748,2.828,0;7.2046,-6.7769,0;7.2046,-9.2553,0;4.4137,-6.476,0;3.08,-8.786,0;4.4137,-11.0962,0;9.1511,-3.2997,0;9.1485,-4.8397,0;7.6873,-2.8211,0;7.683,-5.3131,0;6.9121,8.257,0;7.9447,9.3996,0;7.3855,6.7915,0;9.4504,9.0769,0;7.2141,-1.3558,0;8.8913,6.4687,0;10.4828,10.2196,0;5.7473,-7.246,0;8.1034,-8.016,0;5.7473,-8.786,0;4.4137,-9.5562,0;3.08,-7.246,0;9.0035,-2.3563,0;8.9975,-5.7824,0;6.7445,-2.6703,0;8.3571,-5.9892,0;6.6186,9.1655,0;8.5846,10.108,0;6.4519,6.9916,0;10.3841,8.8767,0;6.6274,-.6024,0;6.3702,-1.8025,0;8.251,5.7603,0;10.842,11.1042,0;9.674,10.7268,0;11.2702,-2.7866,0;11.2659,-5.3601,0;9.0582,-8.016,0;5.1128,9.4885,0;8.1112,11.5735,0;5.4195,5.849,0;12.6287,10.6051,0;2.2533,-6.7687,0;3.5868,-11.5735,0;5.2407,-11.5735,0;
</t>
  </si>
  <si>
    <t xml:space="preserve">C00498</t>
  </si>
  <si>
    <t xml:space="preserve">adphep-DD[c]</t>
  </si>
  <si>
    <t xml:space="preserve">ADP-D-glycero-D-manno-heptose</t>
  </si>
  <si>
    <t xml:space="preserve">C17H25N5O16P2</t>
  </si>
  <si>
    <t xml:space="preserve">InChI=1/C17H27N5O16P2/c18-14-7-15(20-3-19-14)22(4-21-7)16-11(28)8(25)6(35-16)2-34-39(30,31)38-40(32,33)37-17-12(29)9(26)10(27)13(36-17)5(24)1-23/h3-6,8-13,16-17,23-29H,1-2H2,(H,30,31)(H,32,33)(H2,18,19,20)/p-2/t5-,6-,8-,9+,10+,11-,12+,13-,16-,17-/s2
AuxInfo=1/1/N:35,34,40,37,33,26,38,24,30,29,25,31,28,39,36,27,32,23,22,21,20,19,14,12,5,9,8,6,10,16,18,15,17,11,3,4,7,13,2,1/E:(30,31)(32,33)/rA:65PPOOOOOOOOOOOOO-O-OONNNNNC.eC.oC.eC.eC.eC.oC.eC.eC.oC.e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</si>
  <si>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C06397</t>
  </si>
  <si>
    <t xml:space="preserve">adphep-LD[c]</t>
  </si>
  <si>
    <t xml:space="preserve">ADP-L-glycero-D-manno-heptose</t>
  </si>
  <si>
    <t xml:space="preserve">InChI=1/C17H27N5O16P2/c18-14-7-15(20-3-19-14)22(4-21-7)16-11(28)8(25)6(35-16)2-34-39(30,31)38-40(32,33)37-17-12(29)9(26)10(27)13(36-17)5(24)1-23/h3-6,8-13,16-17,23-29H,1-2H2,(H,30,31)(H,32,33)(H2,18,19,20)/p-2/t5-,6+,8+,9-,10-,11+,12-,13+,16+,17+/s2
AuxInfo=1/1/N:35,34,40,37,33,26,38,24,30,29,25,31,28,39,36,27,32,23,22,21,20,19,14,12,5,9,8,6,10,16,18,15,17,11,3,4,7,13,2,1/E:(30,31)(32,33)/rA:65PPOOOOOOOOOOOOO-O-OONNNNNC.eC.oC.eC.eC.eC.oC.eC.eC.oC.o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</si>
  <si>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C06398</t>
  </si>
  <si>
    <t xml:space="preserve">agm[c]</t>
  </si>
  <si>
    <t xml:space="preserve">Agmatine</t>
  </si>
  <si>
    <t xml:space="preserve">C5H16N4</t>
  </si>
  <si>
    <t xml:space="preserve">InChI=1S/C5H14N4/c6-3-1-2-4-9-5(7)8/h1-4,6H2,(H4,7,8,9)/p+2
AuxInfo=1/1/N:6,5,8,7,9,2,3,4,1/E:(7,8)/rA:9N+N+NNCCCCC/rB:;;;;s5;s1s5;s2s6;d+1s3s4;/rC:7.9081,1.54,0;3.9069,-3.85,0;9.2417,3.85,0;6.5744,3.85,0;6.5744,-.77,0;5.2407,-1.54,0;6.5744,.77,0;5.2407,-3.08,0;7.9081,3.08,0;
</t>
  </si>
  <si>
    <t xml:space="preserve">C00179</t>
  </si>
  <si>
    <t xml:space="preserve">ahcys[c]</t>
  </si>
  <si>
    <t xml:space="preserve">S-Adenosyl-L-homocysteine</t>
  </si>
  <si>
    <t xml:space="preserve">C14H20N6O5S</t>
  </si>
  <si>
    <t xml:space="preserve">InChI=1/C14H20N6O5S/c15-6(14(23)24)1-2-26-3-7-9(21)10(22)13(25-7)20-5-19-8-11(16)17-4-18-12(8)20/h4-7,9-10,13,21-22H,1-3,15H2,(H,23,24)(H2,16,17,18)/t6-,7+,9+,10+,13+/s2
AuxInfo=1/1/N:22,21,17,25,19,24,15,20,13,14,23,18,16,26,12,11,10,9,8,7,3,4,5,6,2,1/E:(23,24)/rA:45SOOOO-ONNNNNN+C.eC.oC.eC.eCCCCCCCC.eCCHHHHHHHHHHHHHHHHHHH/rB:;;;;;;;;;;;s3;s4s13;s2s13;s2s7s14;s1s15;s7d+9;s7d-8;s8s18;s1;s21;s10s11d+20;s12s22;s9d-10;s5d6s24;s13;s14;s15;s16;s17;s17;s3;s4;s19;s21;s21;s22;s22;s24;s25;s11;s11;s12;s12;/rC:8.2466,1.985,0;6.7801,-1.8672,0;10.3986,-.1984,0;10.3929,-3.5489,0;8.8913,8.6669,0;10.8703,6.8787,0;7.2046,-4.5786,0;7.2046,-7.0573,0;4.4137,-4.2778,0;3.08,-6.5878,0;4.4137,-8.8978,0;6.8264,6.3816,0;9.1511,-1.1013,0;9.1485,-2.6415,0;7.6873,-.6229,0;7.683,-3.1149,0;7.2141,.8426,0;5.7473,-5.0478,0;8.1034,-5.8178,0;5.7473,-6.5878,0;7.7732,3.4505,0;8.8054,4.5933,0;4.4137,-7.3578,0;8.3321,6.0588,0;3.08,-5.0478,0;9.3647,7.2014,0;10.0012,-1.5363,0;9.9999,-2.2094,0;6.7445,-.4721,0;8.3571,-3.791,0;6.6274,1.596,0;6.3702,.3955,0;11.2702,-.5884,0;11.2659,-3.1619,0;9.0582,-5.8178,0;7.1865,4.2041,0;6.9293,3.0038,0;9.3921,3.8399,0;9.6494,5.04,0;8.0388,6.9673,0;2.2533,-4.5705,0;3.5868,-9.3753,0;5.2407,-9.3753,0;6.533,7.2901,0;6.1863,5.6732,0;
</t>
  </si>
  <si>
    <t xml:space="preserve">C00021</t>
  </si>
  <si>
    <t xml:space="preserve">ahdt[c]</t>
  </si>
  <si>
    <t xml:space="preserve">Dihydroneopterin_triphosphate</t>
  </si>
  <si>
    <t xml:space="preserve">C9H12N5O13P3</t>
  </si>
  <si>
    <t xml:space="preserve">InChI=1/C9H16N5O13P3/c10-9-13-7-5(8(17)14-9)12-3(1-11-7)6(16)4(15)2-25-29(21,22)27-30(23,24)26-28(18,19)20/h4,6,15-16H,1-2H2,(H,21,22)(H,23,24)(H2,18,19,20)(H4,10,11,13,14,17)/p-4/t4-,6+/s2
AuxInfo=1/1/N:25,26,24,23,28,22,27,29,30,21,17,18,19,20,5,4,9,14,15,16,8,10,12,13,6,11,7,3,1,2/E:(18,19,20)(21,22)(23,24)/rA:42PPPOOOOO-OOOO-OO-O-ONNNNNC.oC.eCCCCCCCHHHHHHHHHHHH/rB:;;;;s1;s1s2;s1;;d1;s2s3;s2;d2;s3;s3;d3;;;;;;s4;s5s22;d+18s22;s17s24;s6s23;s17s19;s18d-27;d9s20s28;s19d-20s21;s22;s23;s25;s25;s26;s26;s17;s4;s5;s19;s21;s21;/rC:17.3454,.9869,0;20.0127,.9974,0;22.6802,1.0074,0;12.0049,2.5064,0;13.3534,-1.3384,0;16.0147,.2117,0;18.6762,1.7621,0;18.1207,-.3437,0;6.5744,2.4692,0;16.5704,2.3177,0;21.3496,.2324,0;20.7777,2.3339,0;19.2479,-.3394,0;24.0109,1.7827,0;23.4554,-.3233,0;21.905,2.3382,0;9.2848,-2.2042,0;9.2848,.9826,0;6.5744,-2.1508,0;5.2407,.1592,0;3.9069,-2.1508,0;12.0107,.9664,0;13.3474,.2016,0;10.6799,.1913,0;10.6799,-1.4129,0;14.6782,.9766,0;7.9079,-1.3808,0;7.9079,.1592,0;6.5744,.9292,0;5.2407,-1.3808,0;11.1821,1.4407,0;12.5223,-.2791,0;11.0019,-2.3117,0;11.6207,-1.2494,0;15.2889,1.7104,0;14.0616,1.7058,0;9.2736,-3.159,0;12.8298,2.987,0;14.182,-1.8125,0;6.5744,-3.1056,0;3.08,-1.6735,0;3.9069,-3.1056,0;
</t>
  </si>
  <si>
    <t xml:space="preserve">C04895</t>
  </si>
  <si>
    <t xml:space="preserve">aicar[c]</t>
  </si>
  <si>
    <t xml:space="preserve">AICAR</t>
  </si>
  <si>
    <t xml:space="preserve">C9H13N4O8P</t>
  </si>
  <si>
    <t xml:space="preserve">InChI=1/C9H15N4O8P/c10-7-4(8(11)16)12-2-13(7)9-6(15)5(14)3(21-9)1-20-22(17,18)19/h2-3,5-6,9,14-15H,1,10H2,(H2,11,16)(H2,17,18,19)/p-2/t3-,5-,6-,9-/s2
AuxInfo=1/1/N:18,20,17,21,15,14,19,22,16,12,13,11,10,4,3,9,6,7,8,5,2,1/E:(17,18,19)/rA:35POOOOO-O-OONNNNC.oC.eC.eC.eCCCCCHHHHHHHHHHHHH/rB:;;;s1;s1;s1;d1;;;;;;s3;s4s14;s2s10s14;s2s15;s5s17;s10s12;s10d-11;s11d-19;d9s13s21;s14;s15;s16;s17;s18;s18;s3;s4;s20;s12;s12;s13;s13;/rC:10.612,-5.395,0;7.7459,-1.5994,0;3.7897,-1.1235,0;4.8248,-4.3099,0;9.7069,-4.149,0;11.5173,-6.6409,0;11.8578,-4.4897,0;9.3662,-6.3002,0;9.7069,4.3004,0;6.5001,.8458,0;5.7301,3.2155,0;9.2107,1.2751,0;7.549,5.8684,0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8.1101,6.6409,0;6.5994,5.9681,0;
</t>
  </si>
  <si>
    <t xml:space="preserve">C04677</t>
  </si>
  <si>
    <t xml:space="preserve">air[c]</t>
  </si>
  <si>
    <t xml:space="preserve">AIR</t>
  </si>
  <si>
    <t xml:space="preserve">C8H12N3O7P</t>
  </si>
  <si>
    <t xml:space="preserve">InChI=1/C8H14N3O7P/c9-5-1-10-3-11(5)8-7(13)6(12)4(18-8)2-17-19(14,15)16/h1,3-4,6-8,12-13H,2,9H2,(H2,14,15,16)/p-1/t4-,6-,7-,8-/s2
AuxInfo=1/1/N:19,16,18,14,17,12,13,15,11,10,9,3,4,6,7,8,5,2,1/E:(14,15,16)/rA:31POOOOO-O-ONN+NC.eC.oC.eC.eCCCCHHHHHHHHHHHH/rB:;;;s1;s1;s1;d1;;;;s3;s4s12;s2s12;s2s9s13;s5s14;s9s11;s9d-10;s10d-17;s12;s13;s14;s15;s16;s16;s3;s4;s18;s19;s11;s11;/rC:10.612,-3.6824,0;7.7459,.1131,0;4.8248,-2.5975,0;3.7897,.5891,0;9.7069,-2.4364,0;11.5173,-4.9282,0;11.8578,-2.777,0;9.3662,-4.5875,0;6.5001,2.5585,0;5.7301,4.9282,0;9.2107,2.9876,0;5.7301,-1.3515,0;5.2541,.1131,0;7.2701,-1.3515,0;6.5001,1.0185,0;8.1753,-2.5975,0;7.7459,3.4634,0;5.2541,3.4634,0;7.2701,4.9282,0;4.7871,-1.2021,0;5.1048,1.0562,0;8.2131,-1.2021,0;5.6493,1.4517,0;7.3171,-3.016,0;8.4385,-3.5153,0;5.2132,-3.4696,0;3.08,-.0498,0;4.3462,3.1685,0;7.8312,5.7006,0;9.92,3.6266,0;9.4091,2.0537,0;
</t>
  </si>
  <si>
    <t xml:space="preserve">C03373</t>
  </si>
  <si>
    <t xml:space="preserve">akg[c]</t>
  </si>
  <si>
    <t xml:space="preserve">2-Oxoglutarate</t>
  </si>
  <si>
    <t xml:space="preserve">C5H4O5</t>
  </si>
  <si>
    <t xml:space="preserve">InChI=1S/C5H6O5/c6-3(5(9)10)1-2-4(7)8/h1-2H2,(H,7,8)(H,9,10)/p-2
AuxInfo=1/1/N:6,7,8,9,10,2,1,3,4,5/E:(7,8)(9,10)/rA:10O-OOO-OCCCCC/rB:;;;;;s6;d2s6;s1d3s7;s4d5s8;/rC:3.9066,-.3851,0;9.2407,-1.9249,0;5.2401,1.9249,0;11.908,-.3851,0;10.5747,1.9249,0;7.9074,.3851,0;6.5738,-.3851,0;9.2407,-.3851,0;5.2401,.3851,0;10.5747,.3851,0;
</t>
  </si>
  <si>
    <t xml:space="preserve">C00026</t>
  </si>
  <si>
    <t xml:space="preserve">ala-B[c]</t>
  </si>
  <si>
    <t xml:space="preserve">beta-Alanine</t>
  </si>
  <si>
    <t xml:space="preserve">C3H7NO2</t>
  </si>
  <si>
    <t xml:space="preserve">InChI=1S/C3H7NO2/c4-2-1-3(5)6/h1-2,4H2,(H,5,6)
AuxInfo=1/1/N:4,5,6,3,1,2/E:(5,6)/rA:12O-ON+CCCHHHHHH/rB:;;;s3s4;s1d2s4;s4;s4;s5;s5;s3;s3;/rC:3.9069,.6776,0;5.2407,-1.6324,0;9.2417,.6776,0;6.5744,.6776,0;7.9081,-.0924,0;5.2407,-.0924,0;7.1882,1.409,0;5.9606,1.409,0;7.2944,-.8238,0;8.5217,-.8238,0;10.0688,.2003,0;9.2417,1.6324,0;
</t>
  </si>
  <si>
    <t xml:space="preserve">C00099</t>
  </si>
  <si>
    <t xml:space="preserve">ala-D[c]</t>
  </si>
  <si>
    <t xml:space="preserve">D-Alanine</t>
  </si>
  <si>
    <t xml:space="preserve">InChI=1/C3H7NO2/c1-2(4)3(5)6/h2H,4H2,1H3,(H,5,6)/t2-/s2
AuxInfo=1/1/N:5,4,6,3,1,2/E:(5,6)/rA:12O-ON+C.oCCHHHHHH/rB:;;s3;s4;s1d2s4;s4;s5;s5;s5;s3;s3;/rC:7.9081,-.3851,0;6.5744,1.9251,0;3.9069,.3851,0;5.2407,-.3851,0;5.2407,-1.9251,0;6.5744,.3851,0;5.2407,.5699,0;4.2859,-1.9251,0;5.2407,-2.8799,0;6.1955,-1.9251,0;3.08,-.0924,0;3.9069,1.3399,0;
</t>
  </si>
  <si>
    <t xml:space="preserve">C00133</t>
  </si>
  <si>
    <t xml:space="preserve">ala-L[c]</t>
  </si>
  <si>
    <t xml:space="preserve">L-Alanine</t>
  </si>
  <si>
    <t xml:space="preserve">InChI=1/C3H7NO2/c1-2(4)3(5)6/h2H,4H2,1H3,(H,5,6)/t2-/s2
AuxInfo=1/1/N:5,4,6,3,1,2/E:(5,6)/rA:6O-ON+C.oCC/rB:;;s3;s4;s1d2s4;/rC:7.9074,-.3851,0;6.5738,1.9249,0;3.9066,.3851,0;5.2401,-.3851,0;5.2401,-1.9249,0;6.5738,.3851,0;
</t>
  </si>
  <si>
    <t xml:space="preserve">C00041</t>
  </si>
  <si>
    <t xml:space="preserve">alaala[c]</t>
  </si>
  <si>
    <t xml:space="preserve">D-Alanyl-D-alanine</t>
  </si>
  <si>
    <t xml:space="preserve">C6H12N2O3</t>
  </si>
  <si>
    <t xml:space="preserve">InChI=1/C6H12N2O3/c1-3(7)5(9)8-4(2)6(10)11/h3-4H,7H2,1-2H3,(H,8,9)(H,10,11)/t3-,4?/s2
AuxInfo=1/1/N:10,9,7,6,8,11,5,4,1,2,3/E:(10,11)/rA:22OO-ONN+CC.eCCCCHHHHHHHHHHH/rB:;;;;s4;s5;d1s4s7;s6;s7;s2d3s6;s6;s7;s4;s9;s9;s9;s10;s10;s10;s5;s5;/rC:9.2417,1.9251,0;3.9069,.3851,0;5.2407,-1.9251,0;7.9081,-.3851,0;11.9091,.3851,0;6.5744,.3851,0;10.5756,-.3851,0;9.2417,.3851,0;6.5744,1.9251,0;10.5756,-1.9251,0;5.2407,-.3851,0;6.5744,-.5699,0;11.4023,-.8624,0;7.9081,-1.3399,0;7.5292,1.9251,0;6.5744,2.8799,0;5.6196,1.9251,0;9.6208,-1.9251,0;10.5756,-2.8799,0;11.5304,-1.9251,0;12.7361,-.0924,0;11.9091,1.3399,0;
</t>
  </si>
  <si>
    <t xml:space="preserve">C00993</t>
  </si>
  <si>
    <t xml:space="preserve">alac-S[c]</t>
  </si>
  <si>
    <t xml:space="preserve">S-2-acetolactate</t>
  </si>
  <si>
    <t xml:space="preserve">C5H7O4</t>
  </si>
  <si>
    <t xml:space="preserve">InChI=1/C5H8O4/c1-3(6)5(2,9)4(7)8/h9H,1-2H3,(H,7,8)/p-1/t5-/s2
AuxInfo=1/1/N:9,6,7,8,5,2,3,4,1/E:(7,8)/rA:9OOO-OC.eCCCC/rB:;;;s1;s5;d2s5;s3d4s5;s7;/rC:4.9775,1.3337,0;4.4137,-2.31,0;8.4149,0,0;7.0812,2.31,0;5.7475,0,0;6.5175,-1.3337,0;4.4137,-.77,0;7.0812,.77,0;3.08,0,0;
</t>
  </si>
  <si>
    <t xml:space="preserve">C06010</t>
  </si>
  <si>
    <t xml:space="preserve">amet[c]</t>
  </si>
  <si>
    <t xml:space="preserve">S-Adenosyl-L-methionine</t>
  </si>
  <si>
    <t xml:space="preserve">C15H23N6O5S</t>
  </si>
  <si>
    <t xml:space="preserve">InChI=1/C15H22N6O5S/c1-27(3-2-7(16)15(24)25)4-8-10(22)11(23)14(26-8)21-6-20-9-12(17)18-5-19-13(9)21/h5-8,10-11,14,22-23H,2-4,16H2,1H3,(H2-,17,18,19,24,25)/p+1/t7-,8+,10+,11+,14+,27?/s2
AuxInfo=1/2/N:22,21,18,17,26,20,24,13,23,14,15,25,19,16,27,10,12,11,9,8,7,3,4,5,6,2,1/E:(24,25)/CRV:24-1,27+1/rA:27S+OOOO-ONNNN+NNC.oC.eC.eC.oCCCCCCCC.oCCC/rB:;;;;;;;;;;;s2;s3s13;s4s14;s2s7s15;s1s13;s1;s7d+9;s7d-8;s18;s1;s8s19;s10s21;s11s12d+23;s9d-11;s5d6s24;/rC:11.8044,2.4681,0;9.1485,.6537,0;7.2141,4.1378,0;5.2401,1.4306,0;16.7946,6.0803,0;14.1411,5.8059,0;7.2048,-1.2835,0;7.2048,-3.7621,0;4.4137,-.9826,0;17.1112,3.0165,0;3.08,-3.2928,0;4.4137,-5.6028,0;9.1511,2.1937,0;7.6873,2.6723,0;6.7801,1.428,0;7.683,.1803,0;10.3988,3.0968,0;13.0521,3.3712,0;5.7475,-1.7528,0;8.1036,-2.5228,0;14.4579,2.7421,0;11.9629,.9361,0;5.7475,-3.2928,0;15.7052,3.6452,0;4.4137,-4.0628,0;3.08,-1.7528,0;15.5469,5.1772,0;
</t>
  </si>
  <si>
    <t xml:space="preserve">C00019</t>
  </si>
  <si>
    <t xml:space="preserve">ametam[c]</t>
  </si>
  <si>
    <t xml:space="preserve">S-Adenosylmethioninamine</t>
  </si>
  <si>
    <t xml:space="preserve">C14H24N6O3S</t>
  </si>
  <si>
    <t xml:space="preserve">InChI=1/C14H23N6O3S/c1-24(4-2-3-15)5-8-10(21)11(22)14(23-8)20-7-19-9-12(16)17-6-18-13(9)20/h6-8,10-11,14,21-22H,2-5,15H2,1H3,(H2,16,17,18)/q+1/p+1/t8-,10-,11-,14-,24?/s2
AuxInfo=1/1/N:19,20,22,16,15,24,18,11,21,12,13,23,17,14,9,10,8,7,6,5,3,4,2,1/CRV:24+1/rA:24S+OOONNNNN+NC.oC.eC.eC.oCCCCCCCCCC/rB:;;;;;;;;;s2;s3s11;s4s12;s2s5s13;s1s11;s1;s5d+7;s5d-6;s1;s16;s6s17;s9s20;s8s10d+21;s7d-8;/rC:11.8048,3.085,0;9.1489,1.2708,0;7.2143,4.7548,0;5.2403,2.0477,0;7.205,-.6664,0;7.205,-3.1451,0;4.4139,-.3657,0;3.0802,-2.6757,0;17.1115,3.6337,0;4.4139,-4.9859,0;9.1515,2.811,0;7.6877,3.2893,0;6.7803,2.0449,0;7.6832,.7974,0;10.399,3.7141,0;13.0525,3.9881,0;5.7475,-1.1359,0;8.1038,-1.9057,0;11.9631,1.5533,0;14.4583,3.3594,0;5.7475,-2.6757,0;15.7058,4.2625,0;4.4139,-3.4457,0;3.0802,-1.1359,0;
</t>
  </si>
  <si>
    <t xml:space="preserve">C01137</t>
  </si>
  <si>
    <t xml:space="preserve">amob[c]</t>
  </si>
  <si>
    <t xml:space="preserve">S-Adenosyl-4-methylthio-2-oxobutanoate</t>
  </si>
  <si>
    <t xml:space="preserve">C15H19N5O6S</t>
  </si>
  <si>
    <t xml:space="preserve">InChI=1/C15H19N5O6S/c1-27(3-2-7(21)15(24)25)4-8-10(22)11(23)14(26-8)20-6-19-9-12(16)17-5-18-13(9)20/h5-6,8,10-11,14,22-23H,2-4H2,1H3,(H2-,16,17,18,24,25)/t8-,10-,11-,14-,27?/s2
AuxInfo=1/2/N:21,23,19,17,26,20,25,13,22,14,15,24,18,16,27,12,11,10,9,8,5,3,4,6,7,2,1/E:(24,25)/CRV:24-1,27+1/rA:46S+OOOOO-ONNNNNC.eC.oC.oC.eCCCCCCCCCCCHHHHHHHHHHHHHHHHHHH/rB:;;;;;;;;;;;s2;s3s13;s4s14;s2s8s15;s1s13;s8d+10;s1;s8d-9;s1;s9s18;s19;s11s12d+22;d5s23;s10d-11;s6d7s25;s13;s14;s15;s16;s17;s17;s3;s4;s19;s19;s20;s21;s21;s21;s23;s23;s26;s12;s12;/rC:11.8044,2.9197,0;9.1485,1.1053,0;7.2141,4.5892,0;5.2401,1.8822,0;15.5469,5.6286,0;18.3585,4.371,0;17.2695,1.9361,0;7.2048,-.832,0;7.2048,-3.3105,0;4.4137,-.5311,0;3.08,-2.8413,0;4.4137,-5.1513,0;9.1511,2.6453,0;7.6873,3.1239,0;6.7801,1.8794,0;7.683,.6319,0;10.3986,3.5483,0;5.7475,-1.3013,0;13.0521,3.8227,0;8.1034,-2.0713,0;11.9627,1.3877,0;5.7475,-2.8413,0;14.4577,3.1937,0;4.4137,-3.6113,0;15.7052,4.0968,0;3.08,-1.3013,0;17.1112,3.4681,0;10.0012,2.2103,0;8.3638,3.7977,0;6.348,2.7309,0;8.3571,-.0444,0;10.934,4.3391,0;9.713,4.2127,0;7.8542,5.2976,0;4.7641,2.7098,0;13.5873,4.6133,0;12.3663,4.4871,0;9.0584,-2.0713,0;11.013,1.2895,0;12.0611,.4379,0;12.9125,1.4859,0;13.9225,2.4031,0;15.1433,2.5293,0;2.2533,-.8238,0;3.5868,-5.6286,0;5.2407,-5.6286,0;
</t>
  </si>
  <si>
    <t xml:space="preserve">C04425</t>
  </si>
  <si>
    <t xml:space="preserve">amopbut-L[c]</t>
  </si>
  <si>
    <t xml:space="preserve">2-Amino-3-oxo-4-phosphonooxybutyrate</t>
  </si>
  <si>
    <t xml:space="preserve">InChI=1S/C4H8NO7P/c5-3(4(7)8)2(6)1-12-13(9,10)11/h3H,1,5H2,(H,7,8)(H2,9,10,11)/p-2/t3-/m0/s1
AuxInfo=1/1/N:12,11,10,13,9,3,4,5,6,7,8,2,1/E:(7,8)(9,10,11)/it:im/rA:18POOO-OO-O-ON+C.eCCCHHHHH/rB:s1;;;;s1;s1;d1;;s9;d3s10;s2s11;s4d5s10;s10;s12;s12;s9;s9;/rC:10.5756,0,0;9.2417,.77,0;6.5744,2.31,0;3.9069,-2.31,0;6.5744,-2.31,0;11.9091,-.77,0;11.3456,1.3337,0;9.8056,-1.3337,0;3.9069,.77,0;5.2407,0,0;6.5744,.77,0;7.9081,0,0;5.2407,-1.54,0;5.2407,.9548,0;7.2944,-.7314,0;8.5217,-.7314,0;3.08,.2927,0;3.9069,1.7248,0;
</t>
  </si>
  <si>
    <t xml:space="preserve">C07335</t>
  </si>
  <si>
    <t xml:space="preserve">amoxoylph[c]</t>
  </si>
  <si>
    <t xml:space="preserve">3-Amino-2-oxopropyl_phosphate</t>
  </si>
  <si>
    <t xml:space="preserve">C3H7NO5P</t>
  </si>
  <si>
    <t xml:space="preserve">InChI=1S/C3H8NO5P/c4-1-3(5)2-9-10(6,7)8/h1-2,4H2,(H2,6,7,8)/p-1
AuxInfo=1/1/N:10,8,9,7,3,4,5,6,2,1/E:(6,7,8)/rA:16POOO-O-ON+CCCHHHHHH/rB:s1;;s1;s1;d1;;s2;d3s8;s7s9;s8;s8;s10;s10;s7;s7;/rC:4.4141,-.4881,0;5.7478,.2819,0;8.4155,1.8221,0;3.0802,-1.2583,0;3.6439,.8454,0;5.1841,-1.8221,0;11.0831,.2819,0;7.0818,-.4881,0;8.4155,.2819,0;9.7492,-.4881,0;6.468,-1.2195,0;7.6955,-1.2195,0;9.1357,-1.2195,0;10.3632,-1.2195,0;11.9101,-.1956,0;11.0831,1.2367,0;
</t>
  </si>
  <si>
    <t xml:space="preserve">C11638</t>
  </si>
  <si>
    <t xml:space="preserve">amp[c]</t>
  </si>
  <si>
    <t xml:space="preserve">AMP</t>
  </si>
  <si>
    <t xml:space="preserve">C10H12N5O7P</t>
  </si>
  <si>
    <t xml:space="preserve">InChI=1/C10H14N5O7P/c11-8-5-9(13-2-12-8)15(3-14-5)10-7(17)6(16)4(22-10)1-21-23(18,19)20/h2-4,6-7,10,16-17H,1H2,(H2,11,12,13)(H2,18,19,20)/p-2/t4-,6-,7-,10-/s2
AuxInfo=1/1/N:18,23,20,17,21,15,14,22,19,16,13,12,11,10,9,4,3,6,7,8,5,2,1/E:(18,19,20)/rA:35POOOOO-O-ONNNNNC.oC.eC.eC.eCCCCCCHHHHHHHHHHHH/rB:;;;s1;s1;s1;d1;;;;;;s3;s4s14;s2s9s14;s2s15;s5s17;s9d+11;s9d-10;s10s19;s12s13d+21;s11d-12;s14;s15;s16;s17;s18;s18;s3;s4;s20;s23;s13;s13;/rC:7.7732,5.326,0;6.7801,.0082,0;10.3929,-1.6735,0;10.3988,1.677,0;8.2466,3.8606,0;7.2998,6.7915,0;9.2387,5.7995,0;6.3077,4.8526,0;7.2048,-2.7033,0;7.2048,-5.1819,0;4.4137,-2.4024,0;3.08,-4.7126,0;4.4137,-7.0226,0;9.1485,-.7661,0;9.1511,.7741,0;7.683,-1.2395,0;7.6873,1.2523,0;7.2141,2.7179,0;5.7475,-3.1724,0;8.1036,-3.9424,0;5.7475,-4.7126,0;4.4137,-5.4826,0;3.08,-3.1724,0;10.0001,-.3339,0;10.0012,.3392,0;8.3571,-1.9156,0;6.7446,1.4034,0;6.6276,3.4714,0;6.3702,2.2712,0;11.2659,-1.2865,0;11.2702,1.2873,0;9.0584,-3.9424,0;2.2533,-2.6951,0;3.5868,-7.4999,0;5.2407,-7.4999,0;
</t>
  </si>
  <si>
    <t xml:space="preserve">C00020</t>
  </si>
  <si>
    <t xml:space="preserve">anth[c]</t>
  </si>
  <si>
    <t xml:space="preserve">Anthranilate</t>
  </si>
  <si>
    <t xml:space="preserve">InChI=1S/C7H7NO2/c8-6-4-2-1-3-5(6)7(9)10/h1-4H,8H2,(H,9,10)/p-1
AuxInfo=1/1/N:8,9,6,7,4,5,10,3,1,2/E:(9,10)/rA:10O-ONCCCCCCC/rB:;;;s3d+4;s4;s5;d-6;d-7s8;s1d2s4;/rC:7.9081,2.2176,0;5.2407,2.2176,0;3.9069,-.0924,0;6.5744,-.0924,0;5.2407,-.8624,0;7.9081,-.8624,0;5.2407,-2.4024,0;7.9081,-2.4024,0;6.5744,-3.1724,0;6.5744,1.4476,0;
</t>
  </si>
  <si>
    <t xml:space="preserve">C00108</t>
  </si>
  <si>
    <t xml:space="preserve">apoACP[c]</t>
  </si>
  <si>
    <t xml:space="preserve">apoACP</t>
  </si>
  <si>
    <t xml:space="preserve">RHO</t>
  </si>
  <si>
    <t xml:space="preserve">C03688</t>
  </si>
  <si>
    <t xml:space="preserve">aps[c]</t>
  </si>
  <si>
    <t xml:space="preserve">Adenylylsulfate</t>
  </si>
  <si>
    <t xml:space="preserve">C10H12N5O10PS</t>
  </si>
  <si>
    <t xml:space="preserve">InChI=1/C10H14N5O10PS/c11-8-5-9(13-2-12-8)15(3-14-5)10-7(17)6(16)4(24-10)1-23-26(18,19)25-27(20,21)22/h2-4,6-7,10,16-17H,1H2,(H,18,19)(H2,11,12,13)(H,20,21,22)/p-2/t4-,6-,7-,10-/s2
AuxInfo=1/1/N:22,27,24,21,25,19,18,26,23,20,17,16,15,14,13,5,4,8,9,10,11,12,6,3,7,2,1/E:(18,19)(20,21,22)/CRV:27.6/rA:39SPOOOOOO-OO-OONNNNNC.oC.eC.eC.eCCCCCCHHHHHHHHHHHH/rB:;;;;s2;s1s2;s2;d2;s1;d1;d1;;;;;;s4;s5s18;s3s13s18;s3s19;s6s21;s13d+15;s13d-14;s14s23;s16s17d+25;s15d-16;s18;s19;s20;s21;s22;s22;s4;s5;s24;s27;s17;s17;/rC:8.3321,6.6914,0;7.7732,4.0831,0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8.9975,-2.9516,0;10.0012,-.9037,0;8.3571,-3.1584,0;6.7445,.1605,0;6.6274,2.2286,0;6.3702,1.0283,0;11.2659,-2.5293,0;11.2702,.0444,0;9.0582,-5.1852,0;2.2533,-3.9379,0;3.5868,-8.7427,0;5.2407,-8.7427,0;
</t>
  </si>
  <si>
    <t xml:space="preserve">C00224</t>
  </si>
  <si>
    <t xml:space="preserve">ara5p[c]</t>
  </si>
  <si>
    <t xml:space="preserve">D-Arabinose_5-phosphate</t>
  </si>
  <si>
    <t xml:space="preserve">C5H9O8P</t>
  </si>
  <si>
    <t xml:space="preserve">InChI=1/C5H11O8P/c6-1-3(7)5(9)4(8)2-13-14(10,11)12/h1,3-5,7-9H,2H2,(H2,10,11,12)/p-2
AuxInfo=1/1/N:14,13,12,11,10,6,5,2,3,7,8,9,4,1/E:(10,11,12)/rA:14POOOOOO-O-OCCCCC/rB:;;s1;;;s1;s1;d1;s3;s2s10;s5s10;s4s11;d6s12;/rC:5.2407,-.3851,0;9.2417,1.9251,0;10.5756,-1.9251,0;6.5744,.3851,0;11.9091,1.9251,0;14.5766,.3851,0;3.9069,-1.1551,0;4.4707,.9486,0;6.0107,-1.7186,0;10.5756,-.3851,0;9.2417,.3851,0;11.9091,.3851,0;7.9081,-.3851,0;13.2429,-.3851,0;
</t>
  </si>
  <si>
    <t xml:space="preserve">C01112</t>
  </si>
  <si>
    <t xml:space="preserve">arachACP[c]</t>
  </si>
  <si>
    <t xml:space="preserve">Eicosanoyl-ACP</t>
  </si>
  <si>
    <t xml:space="preserve">C31H59N2O8PRS</t>
  </si>
  <si>
    <t xml:space="preserve">arg-L[c]</t>
  </si>
  <si>
    <t xml:space="preserve">L-Arginine</t>
  </si>
  <si>
    <t xml:space="preserve">C6H15N4O2</t>
  </si>
  <si>
    <t xml:space="preserve">InChI=1/C6H14N4O2/c7-4(5(11)12)2-1-3-10-6(8)9/h4H,1-3,7H2,(H,11,12)(H4,8,9,10)/p+1/t4-/s2
AuxInfo=1/1/N:8,7,10,9,11,12,3,5,6,4,1,2/E:(8,9)(11,12)/rA:12O-ON+N+NNCCC.oCCC/rB:;;;;;;s7;s3s7;s4s8;s1d2s9;d+4s5s6;/rC:10.5756,2.7875,0;9.2417,5.0975,0;6.5744,3.5575,0;5.2407,-1.8327,0;3.9069,-4.1427,0;6.5744,-4.1427,0;7.9081,1.2475,0;6.5744,.4775,0;7.9081,2.7875,0;6.5744,-1.0627,0;9.2417,3.5575,0;5.2407,-3.3727,0;
</t>
  </si>
  <si>
    <t xml:space="preserve">C00062</t>
  </si>
  <si>
    <t xml:space="preserve">argsuc[c]</t>
  </si>
  <si>
    <t xml:space="preserve">L-Argininosuccinate</t>
  </si>
  <si>
    <t xml:space="preserve">C10H17N4O6</t>
  </si>
  <si>
    <t xml:space="preserve">InChI=1/C10H18N4O6/c11-5(8(17)18)2-1-3-13-10(12)14-6(9(19)20)4-7(15)16/h5-6H,1-4,11H2,(H,15,16)(H,17,18)(H,19,20)(H3,12,13,14)/p-1/t5-,6-/s2
AuxInfo=1/1/N:12,11,14,16,13,15,20,18,19,17,9,10,8,7,5,6,1,2,3,4/E:(15,16)(17,18)(19,20)/rA:35O-OO-OO-ONN+N+NCCC.eCC.eCCCCCHHHHHHHHHHHHHHH/rB:;;;;;;;;;;s11;s9s11;s8s12;s7;s15;s7d+8s10;s1d2s13;s3d4s15;s5d6s16;s11;s11;s12;s12;s13;s14;s14;s15;s16;s16;s7;s9;s9;s10;s10;/rC:13.2429,-5.1514,0;14.5766,-2.8414,0;3.9069,3.3187,0;5.2407,5.6287,0;5.2407,-.5313,0;3.9069,1.7787,0;7.9081,4.0887,0;9.2417,1.7787,0;10.5756,-3.6114,0;10.5756,4.0887,0;11.9091,-1.3013,0;10.5756,-.5313,0;11.9091,-2.8414,0;10.5756,1.0087,0;6.5744,3.3187,0;6.5744,1.7787,0;9.2417,3.3187,0;13.2429,-3.6114,0;5.2407,4.0887,0;5.2407,1.0087,0;12.8496,-1.4672,0;12.2358,-.4041,0;9.6352,-.3655,0;10.2489,-1.4286,0;11.9091,-3.7962,0;11.5158,.8428,0;10.9021,1.9059,0;6.5744,4.2735,0;6.9009,.8814,0;7.5148,1.9447,0;7.9081,5.0435,0;10.5756,-4.5662,0;9.7485,-3.1339,0;11.4023,3.6114,0;10.5756,5.0435,0;
</t>
  </si>
  <si>
    <t xml:space="preserve">C03406</t>
  </si>
  <si>
    <t xml:space="preserve">asn-L[c]</t>
  </si>
  <si>
    <t xml:space="preserve">L-Asparagine</t>
  </si>
  <si>
    <t xml:space="preserve">C4H8N2O3</t>
  </si>
  <si>
    <t xml:space="preserve">InChI=1/C4H8N2O3/c5-2(4(8)9)1-3(6)7/h2H,1,5H2,(H2,6,7)(H,8,9)/t2-/s2
AuxInfo=1/1/N:7,6,9,8,4,5,3,1,2/E:(8,9)/rA:9O-OON+NC.oCCC/rB:;;;;s4;s6;s1d2s6;d3s5s7;/rC:10.5756,-.1463,0;9.2417,2.1638,0;5.2407,-1.6863,0;7.9081,-1.6863,0;3.9069,.6237,0;7.9081,-.1463,0;6.5744,.6237,0;9.2417,.6237,0;5.2407,-.1463,0;
</t>
  </si>
  <si>
    <t xml:space="preserve">C00152</t>
  </si>
  <si>
    <t xml:space="preserve">asp-L[c]</t>
  </si>
  <si>
    <t xml:space="preserve">L-Aspartate</t>
  </si>
  <si>
    <t xml:space="preserve">C4H6NO4</t>
  </si>
  <si>
    <t xml:space="preserve">InChI=1/C4H7NO4/c5-2(4(8)9)1-3(6)7/h2H,1,5H2,(H,6,7)(H,8,9)/p-1/t2-/s2
AuxInfo=1/1/N:7,6,9,8,5,2,4,1,3/E:(6,7)(8,9)/rA:9O-O-OON+C.oCCC/rB:;;;;s5;s6;s1d3s6;s2d4s7;/rC:10.5756,-.1463,0;3.9069,.6237,0;9.2417,2.1638,0;5.2407,-1.6863,0;7.9081,-1.6863,0;7.9081,-.1463,0;6.5744,.6237,0;9.2417,.6237,0;5.2407,-.1463,0;
</t>
  </si>
  <si>
    <t xml:space="preserve">C00049</t>
  </si>
  <si>
    <t xml:space="preserve">aspsa[c]</t>
  </si>
  <si>
    <t xml:space="preserve">L-Aspartate_4-semialdehyde</t>
  </si>
  <si>
    <t xml:space="preserve">C4H7NO3</t>
  </si>
  <si>
    <t xml:space="preserve">InChI=1/C4H7NO3/c5-3(1-2-6)4(7)8/h2-3H,1,5H2,(H,7,8)/t3-/s2
AuxInfo=1/1/N:6,8,5,7,4,3,1,2/E:(7,8)/rA:14O-OON+C.eCCCHHHHHH/rB:;;;s4;s5;s1d2s5;d3s6;s5;s6;s6;s4;s4;s8;/rC:7.9081,.77,0;6.5744,3.08,0;3.9069,-3.08,0;3.9069,1.54,0;5.2407,.77,0;5.2407,-.77,0;6.5744,1.54,0;3.9069,-1.54,0;5.2407,1.7248,0;5.5671,-1.6673,0;6.1809,-.6042,0;3.08,1.0627,0;3.9069,2.4948,0;3.08,-1.0627,0;
</t>
  </si>
  <si>
    <t xml:space="preserve">C00441</t>
  </si>
  <si>
    <t xml:space="preserve">atp[c]</t>
  </si>
  <si>
    <t xml:space="preserve">ATP</t>
  </si>
  <si>
    <t xml:space="preserve">C10H12N5O13P3</t>
  </si>
  <si>
    <t xml:space="preserve">InChI=1/C10H16N5O13P3/c11-8-5-9(13-2-12-8)15(3-14-5)10-7(17)6(16)4(26-10)1-25-30(21,22)28-31(23,24)27-29(18,19)20/h2-4,6-7,10,16-17H,1H2,(H,21,22)(H,23,24)(H2,11,12,13)(H2,18,19,20)/p-3/t4-,6-,7-,10-/s2
AuxInfo=1/1/N:26,31,28,25,29,23,22,30,27,24,21,20,19,18,17,6,5,14,15,16,9,10,12,13,7,4,11,8,3,1,2/E:(18,19,20)(21,22)(23,24)/rA:31PPPOOOOOO-OOO-OOO-ONNNNNC.eC.oC.oC.oCCCCCC/rB:;;;;;s1;s1s2;s1;d1;s2s3;s2;d2;s3;s3;d3;;;;;;s5;s6s22;s4s17s22;s4s23;s7s25;s17d+19;s17d-18;s18s27;s20s21d+29;s19d-20;/rC:7.7732,2.7179,0;8.3321,5.326,0;8.8913,7.9343,0;6.7801,-2.6001,0;10.3929,-4.2816,0;10.3986,-.9311,0;8.2466,1.2523,0;7.2996,4.1834,0;9.2385,3.1913,0;6.3077,2.2447,0;9.3647,6.4687,0;7.1897,6.3584,0;9.4748,4.2935,0;8.4179,9.3996,0;10.3568,8.4077,0;7.4258,7.4607,0;7.2046,-5.3114,0;7.2046,-7.7898,0;4.4137,-5.0107,0;3.08,-7.3207,0;4.4137,-9.6307,0;9.1485,-3.3742,0;9.1511,-1.8342,0;7.683,-3.8476,0;7.6873,-1.3558,0;7.2141,.1098,0;5.7473,-5.7807,0;8.1034,-6.5507,0;5.7473,-7.3207,0;4.4137,-8.0907,0;3.08,-5.7807,0;
</t>
  </si>
  <si>
    <t xml:space="preserve">C00002</t>
  </si>
  <si>
    <t xml:space="preserve">bcCP_AFE[c]</t>
  </si>
  <si>
    <t xml:space="preserve">BCCP-biotin-AFE</t>
  </si>
  <si>
    <t xml:space="preserve">C06250</t>
  </si>
  <si>
    <t xml:space="preserve">bcCPco2_AFE[c]</t>
  </si>
  <si>
    <t xml:space="preserve">BCCP-biotin-CO2-AFE</t>
  </si>
  <si>
    <t xml:space="preserve">bccp[c]</t>
  </si>
  <si>
    <t xml:space="preserve">BCCP</t>
  </si>
  <si>
    <t xml:space="preserve">biglucpypi[c]</t>
  </si>
  <si>
    <t xml:space="preserve">2,3-bis[3-hydroxytetradecanoyl]-2,3-dideoxy-D-glucopyranose-1-phosphate</t>
  </si>
  <si>
    <t xml:space="preserve">C34H65N2O11P</t>
  </si>
  <si>
    <t xml:space="preserve">bio[c]</t>
  </si>
  <si>
    <t xml:space="preserve">BIOMASS</t>
  </si>
  <si>
    <t xml:space="preserve"> </t>
  </si>
  <si>
    <t xml:space="preserve">bio[e]</t>
  </si>
  <si>
    <t xml:space="preserve">bio[p]</t>
  </si>
  <si>
    <t xml:space="preserve">btn[c]</t>
  </si>
  <si>
    <t xml:space="preserve">Biotin</t>
  </si>
  <si>
    <t xml:space="preserve">C10H15N2O3S</t>
  </si>
  <si>
    <t xml:space="preserve">InChI=1/C10H16N2O3S/c13-8(14)4-2-1-3-7-9-6(5-16-7)11-10(15)12-9/h6-7,9H,1-5H2,(H,13,14)(H2,11,12,15)/p-1/t6-,7-,9-/s2
AuxInfo=1/1/N:12,14,11,15,10,8,9,16,7,13,6,5,3,4,2,1/E:(13,14)/rA:31SOO-ONNC.eC.oC.oCCCCCCCHHHHHHHHHHHHHHH/rB:;;;;;s5;s6s7;s1s7;s1s8;s9;s11;d2s5s6;s12;s14;s3d4s15;s7;s8;s9;s10;s10;s11;s11;s5;s6;s12;s12;s14;s14;s15;s15;/rC:9.3468,-2.6688,0;3.0802,-2.6688,0;14.4045,3.9153,0;11.8688,4.7439,0;5.5259,-1.4228,0;5.5259,-3.9148,0;6.9903,-1.8988,0;6.9903,-3.439,0;8.448,-1.4295,0;8.448,-3.9082,0;8.9262,.0347,0;10.4334,.3522,0;4.6204,-2.6688,0;10.9118,1.8161,0;12.4189,2.1338,0;12.8974,3.5976,0;6.9922,-.5895,0;6.9922,-4.7479,0;9.3914,-1.2813,0;8.0612,-4.7813,0;9.2753,-4.3844,0;8.8947,.9888,0;7.9809,.1691,0;5.2308,-.5145,0;5.2308,-4.8229,0;10.4651,-.6022,0;11.3786,.2177,0;10.8801,2.7703,0;9.9665,1.9507,0;12.4507,1.1795,0;13.3642,1.9992,0;
</t>
  </si>
  <si>
    <t xml:space="preserve">C00120</t>
  </si>
  <si>
    <t xml:space="preserve">but2eACP[c]</t>
  </si>
  <si>
    <t xml:space="preserve">2-trans-Butenoyl-ACP</t>
  </si>
  <si>
    <t xml:space="preserve">C15H25N2O8PRS</t>
  </si>
  <si>
    <t xml:space="preserve">C04246</t>
  </si>
  <si>
    <t xml:space="preserve">butACP[c]</t>
  </si>
  <si>
    <t xml:space="preserve">Butanoyl-ACP</t>
  </si>
  <si>
    <t xml:space="preserve">C15H27N2O8PRS</t>
  </si>
  <si>
    <t xml:space="preserve">C05745</t>
  </si>
  <si>
    <t xml:space="preserve">c190cACP[c]</t>
  </si>
  <si>
    <t xml:space="preserve">C19_cyclopropane-ACP</t>
  </si>
  <si>
    <t xml:space="preserve">c2tdodeACP[c]</t>
  </si>
  <si>
    <t xml:space="preserve">cis-2-trans-Dodidecenoyl-ACP</t>
  </si>
  <si>
    <t xml:space="preserve">C23H39N2O8PRS</t>
  </si>
  <si>
    <t xml:space="preserve">c2thedeACP[c]</t>
  </si>
  <si>
    <t xml:space="preserve">cis-2-trans-Hexadidecenoyl-ACP</t>
  </si>
  <si>
    <t xml:space="preserve">C27H47N2O8PRS</t>
  </si>
  <si>
    <t xml:space="preserve">c2tocdeACP[c]</t>
  </si>
  <si>
    <t xml:space="preserve">cis-2-trans-Octadidecenoyl-ACP</t>
  </si>
  <si>
    <t xml:space="preserve">C29H51N2O8PRS</t>
  </si>
  <si>
    <t xml:space="preserve">c2ttedeACP[c]</t>
  </si>
  <si>
    <t xml:space="preserve">cis-2-trans-Tetradidecenoyl-ACP</t>
  </si>
  <si>
    <t xml:space="preserve">C25H43N2O8PRS</t>
  </si>
  <si>
    <t xml:space="preserve">ca2[c]</t>
  </si>
  <si>
    <t xml:space="preserve">Ca</t>
  </si>
  <si>
    <t xml:space="preserve">InChI=1S/Ca/q+2
AuxInfo=1/0/N:1/rA:1Ca+2/rB:/rC:.2333,.35,0;
</t>
  </si>
  <si>
    <t xml:space="preserve">C00076</t>
  </si>
  <si>
    <t xml:space="preserve">ca2[e]</t>
  </si>
  <si>
    <t xml:space="preserve">ca2[p]</t>
  </si>
  <si>
    <t xml:space="preserve">cbasp[c]</t>
  </si>
  <si>
    <t xml:space="preserve">N-carbamoyl-L-aspartate</t>
  </si>
  <si>
    <t xml:space="preserve">C5H6N2O5</t>
  </si>
  <si>
    <t xml:space="preserve">InChI=1/C5H8N2O5/c6-5(12)7-2(4(10)11)1-3(8)9/h2H,1H2,(H,8,9)(H,10,11)(H3,6,7,12)/p-2/t2-/s2
AuxInfo=1/1/N:9,8,11,10,12,7,6,2,4,1,3,5/E:(8,9)(10,11)/rA:18O-O-OOONNC.eCCCCHHHHHH/rB:;;;;;;s6;s8;s1d3s8;s2d4s9;d5s6s7;s8;s9;s9;s6;s7;s7;/rC:3.9069,1.0087,0;5.2407,-2.8414,0;5.2407,3.3187,0;3.9069,-.5313,0;9.2417,-.5313,0;7.9081,1.7787,0;10.5756,1.7787,0;6.5744,1.0087,0;6.5744,-.5313,0;5.2407,1.7787,0;5.2407,-1.3013,0;9.2417,1.0087,0;6.5744,1.9635,0;6.9009,-1.4286,0;7.5148,-.3655,0;7.9081,2.7335,0;11.4023,1.3013,0;10.5756,2.7335,0;
</t>
  </si>
  <si>
    <t xml:space="preserve">C00438</t>
  </si>
  <si>
    <t xml:space="preserve">cbp[c]</t>
  </si>
  <si>
    <t xml:space="preserve">Carbamoyl_phosphate</t>
  </si>
  <si>
    <t xml:space="preserve">CH2NO5P</t>
  </si>
  <si>
    <t xml:space="preserve">InChI=1S/CH4NO5P/c2-1(3)7-8(4,5)6/h(H2,2,3)(H2,4,5,6)/p-2
AuxInfo=1/1/N:8,7,6,3,4,5,2,1/E:(4,5,6)/rA:10POO-O-OONCHH/rB:s1;s1;s1;d1;;;s2d6s7;s7;s7;/rC:5.2407,-.3102,0;6.5744,.4598,0;3.9069,-1.0804,0;4.4707,1.0233,0;6.0107,-1.644,0;7.9081,-1.8504,0;9.2417,.4598,0;7.9081,-.3102,0;10.0688,-.0177,0;9.2417,1.4146,0;
</t>
  </si>
  <si>
    <t xml:space="preserve">C00169</t>
  </si>
  <si>
    <t xml:space="preserve">cdp[c]</t>
  </si>
  <si>
    <t xml:space="preserve">CDP</t>
  </si>
  <si>
    <t xml:space="preserve">C9H12N3O11P2</t>
  </si>
  <si>
    <t xml:space="preserve">InChI=1/C9H15N3O11P2/c10-5-1-2-12(9(15)11-5)8-7(14)6(13)4(22-8)3-21-25(19,20)23-24(16,17)18/h1-2,4,6-8,13-14H,3H2,(H,19,20)(H2,10,11,15)(H2,16,17,18)/p-2/t4-,6-,7-,8-/s2
AuxInfo=1/1/N:24,22,21,19,25,17,18,20,23,16,15,14,4,5,7,11,12,13,9,10,6,3,8,2,1/E:(16,17,18)(19,20)/rA:38PPOOOOOOO-OO-OONNNC.eC.oC.eC.eCCCCCHHHHHHHHHHHHH/rB:;;;;s1;;s1s2;s1;d1;s2;s2;d2;;;;s4;s5s17;s3s17;s3s14s18;s6s19;s14;d7s14s15;d-22;d+15s16s24;s17;s18;s19;s20;s21;s21;s4;s5;s22;s24;s16;s16;s12;/rC:10.612,-4.0802,0;13.0487,-5.1651,0;7.7459,-.2847,0;4.8248,-2.9953,0;3.7897,.1911,0;9.7069,-2.8342,0;3.8328,2.1605,0;11.5173,-5.3262,0;11.8578,-3.175,0;9.3662,-4.9853,0;14.5803,-5.0042,0;13.2098,-6.6967,0;12.8878,-3.6335,0;6.5001,2.1605,0;5.1664,4.4705,0;6.5001,6.7805,0;5.7301,-1.7494,0;5.2541,-.2847,0;7.2701,-1.7494,0;6.5001,.6205,0;8.1753,-2.9953,0;7.8337,2.9305,0;5.1664,2.9305,0;7.8337,4.4705,0;6.5001,5.2405,0;4.7871,-1.6001,0;4.5791,-.9598,0;8.2131,-1.6001,0;5.6493,1.0539,0;7.3171,-3.4139,0;8.4385,-3.9131,0;5.2132,-3.8675,0;3.08,-.4476,0;8.6608,2.453,0;8.6608,4.948,0;7.327,7.258,0;5.6732,7.258,0;12.4374,-7.258,0;
</t>
  </si>
  <si>
    <t xml:space="preserve">C00112</t>
  </si>
  <si>
    <t xml:space="preserve">cdpdag_AFE[c]</t>
  </si>
  <si>
    <t xml:space="preserve">CDP-di-acyl-glycerol-AFE</t>
  </si>
  <si>
    <t xml:space="preserve">cgly[c]</t>
  </si>
  <si>
    <t xml:space="preserve">Cys-Gly</t>
  </si>
  <si>
    <t xml:space="preserve">C5H10N2O3S</t>
  </si>
  <si>
    <t xml:space="preserve">InChI=1/C5H10N2O3S/c6-3(2-11)5(10)7-1-4(8)9/h3,11H,1-2,6H2,(H,7,10)(H,8,9)/t3-/s2
AuxInfo=1/1/N:10,8,7,11,9,6,5,3,4,2,1/E:(8,9)/rA:20SOO-ONN+C.eCCCCHHHHHHHHH/rB:;;;;;s6;s1s7;d2s5s7;s5;s3d4s10;s7;s8;s8;s5;s10;s10;s6;s6;s1;/rC:3.9069,-1.8327,0;6.5744,2.7875,0;11.9091,1.2475,0;10.5756,-1.0627,0;7.9081,.4775,0;3.9069,1.2475,0;5.2407,.4775,0;5.2407,-1.0627,0;6.5744,1.2475,0;9.2417,1.2475,0;10.5756,.4775,0;5.2407,1.4323,0;5.5671,-1.9598,0;6.1809,-.8967,0;7.9081,-.4775,0;9.8556,1.9789,0;8.6281,1.9789,0;3.08,.77,0;3.9069,2.2023,0;3.9069,-2.7875,0;
</t>
  </si>
  <si>
    <t xml:space="preserve">C01419</t>
  </si>
  <si>
    <t xml:space="preserve">chexcaACP[c]</t>
  </si>
  <si>
    <t xml:space="preserve">cis-Hexadecenoyl-ACP</t>
  </si>
  <si>
    <t xml:space="preserve">C27H49N2O8PRS</t>
  </si>
  <si>
    <t xml:space="preserve">chor[c]</t>
  </si>
  <si>
    <t xml:space="preserve">Chorismate</t>
  </si>
  <si>
    <t xml:space="preserve">C10H8O6</t>
  </si>
  <si>
    <t xml:space="preserve">InChI=1/C10H10O6/c1-5(9(12)13)16-8-4-6(10(14)15)2-3-7(8)11/h2-4,7-8,11H,1H2,(H,12,13)(H,14,15)/p-2/t7-,8-/s2
AuxInfo=1/1/N:16,12,10,9,14,11,8,7,15,13,2,5,6,3,4,1/E:(12,13)(14,15)/rA:16OOO-OO-OC.oC.oCCCCCCCC/rB:;;;;;s1;s2s7;s7;s8;d-9;d-10s11;s3d4s11;s1;s5d6s14;d14;/rC:6.5744,1.3013,0;3.9069,-.2387,0;9.2417,-4.8587,0;10.5756,-2.5487,0;9.2417,4.3814,0;6.5744,4.3814,0;6.5744,-.2387,0;5.2407,-1.0087,0;7.9081,-1.0087,0;5.2407,-2.5487,0;7.9081,-2.5487,0;6.5744,-3.3187,0;9.2417,-3.3187,0;7.9081,2.0713,0;7.9081,3.6114,0;9.2417,1.3013,0;
</t>
  </si>
  <si>
    <t xml:space="preserve">C00251</t>
  </si>
  <si>
    <t xml:space="preserve">chydodeACP[c]</t>
  </si>
  <si>
    <t xml:space="preserve">cis-hydroxydodecenoyl-ACP</t>
  </si>
  <si>
    <t xml:space="preserve">chyhecdeACP[c]</t>
  </si>
  <si>
    <t xml:space="preserve">cis-hydroxyhexadecenoyl-ACP</t>
  </si>
  <si>
    <t xml:space="preserve">chyocdeACP[c]</t>
  </si>
  <si>
    <t xml:space="preserve">cis-hydroxyoctadecenoyl-ACP</t>
  </si>
  <si>
    <t xml:space="preserve">chytedeACP[c]</t>
  </si>
  <si>
    <t xml:space="preserve">cis-hydroxytetradecenoyl-ACP</t>
  </si>
  <si>
    <t xml:space="preserve">cit[c]</t>
  </si>
  <si>
    <t xml:space="preserve">Citrate</t>
  </si>
  <si>
    <t xml:space="preserve">C6H5O7</t>
  </si>
  <si>
    <t xml:space="preserve">InChI=1S/C6H8O7/c7-3(8)1-6(13,5(11)12)2-4(9)10/h13H,1-2H2,(H,7,8)(H,9,10)(H,11,12)/p-3
AuxInfo=1/1/N:9,10,12,13,11,8,4,6,5,7,2,3,1/E:(1,2)(3,4)(7,8,9,10)(11,12)/gE:(1,2)/rA:18OO-OO-O-OOCCCCCCHHHHH/rB:;;;;;;s1;s8;s8;s2d3s8;s4d6s9;s5d7s10;s9;s9;s10;s10;s1;/rC:7.3444,-1.5407,0;9.2417,-.2072,0;7.9081,2.103,0;3.9069,-3.2872,0;3.4944,2.4603,0;6.5744,-3.2872,0;3.4944,-.2072,0;6.5744,-.2072,0;5.2407,-.9772,0;5.8044,1.1265,0;7.9081,.5628,0;5.2407,-2.5172,0;4.2644,1.1265,0;4.9142,-.0799,0;4.3004,-1.143,0;6.7015,1.4532,0;5.6385,2.067,0;6.8671,-2.3677,0;
</t>
  </si>
  <si>
    <t xml:space="preserve">C00158</t>
  </si>
  <si>
    <t xml:space="preserve">citr-L[c]</t>
  </si>
  <si>
    <t xml:space="preserve">L-Citrulline</t>
  </si>
  <si>
    <t xml:space="preserve">C6H13N3O3</t>
  </si>
  <si>
    <t xml:space="preserve">InChI=1/C6H13N3O3/c7-4(5(10)11)2-1-3-9-6(8)12/h4H,1-3,7H2,(H,10,11)(H3,8,9,12)/t4-/s2
AuxInfo=1/1/N:8,7,10,9,11,12,5,6,4,1,2,3/E:(10,11)/rA:24O-OONN+NCCC.eCCCHHHHHHHHHHHH/rB:;;;;;;s7;s5s7;s4s8;s1d2s9;d3s4s6;s7;s7;s8;s8;s9;s10;s10;s4;s5;s5;s6;s6;/rC:10.5756,2.7875,0;9.2417,5.0975,0;6.5744,-4.1427,0;5.2407,-1.8327,0;6.5744,3.5575,0;3.9069,-4.1427,0;7.9081,1.2475,0;6.5744,.4775,0;7.9081,2.7875,0;6.5744,-1.0627,0;9.2417,3.5575,0;5.2407,-3.3727,0;8.2348,.3502,0;8.8484,1.4133,0;6.2477,1.3746,0;5.634,.3115,0;7.9081,3.7423,0;6.9009,-1.9598,0;7.5148,-.8967,0;4.4137,-1.3552,0;5.7475,3.08,0;6.5744,4.5123,0;3.9069,-5.0975,0;3.08,-3.6652,0;
</t>
  </si>
  <si>
    <t xml:space="preserve">C00327</t>
  </si>
  <si>
    <t xml:space="preserve">ckdo[c]</t>
  </si>
  <si>
    <t xml:space="preserve">CMP-2-Dehydro-3-deoxy-D-octonate</t>
  </si>
  <si>
    <t xml:space="preserve">C17H24N3O15P</t>
  </si>
  <si>
    <t xml:space="preserve">InChI=1/C17H26N3O15P/c18-9-1-2-20(16(29)19-9)14-12(26)11(25)8(33-14)5-32-36(30,31)35-17(15(27)28)3-6(22)10(24)13(34-17)7(23)4-21/h1-2,6-8,10-14,21-26H,3-5H2,(H,27,28)(H,30,31)(H2,18,19,29)/p-2
AuxInfo=1/1/N:12,6,24,34,13,27,31,7,15,30,8,4,26,1,25,5,22,17,10,2,36,32,35,33,14,9,28,29,11,20,21,16,3,23,19,18/E:(27,28)(30,31)/rA:60CNOCCCCCONOCCOCONPOO-OCOCCCCO-OCCOOCOOHHHHHHHHHHHHHHHHHHHHHHHH/rB:s1;s1;s1;s2;s2;s3;s4s7;s4;s5;d5;d-6;s7;s8;d-10s12;s13;s15;s16;s18;s18;d18;s19;s22;s22;s22;s23;s24;s25;d25;s26s27;s26;s27;s30;s31;s31;s34;s1;s4;s6;s7;s8;s9;s12;s13;s13;s14;s17;s17;s24;s24;s26;s27;s30;s31;s32;s33;s34;s34;s35;s36;/rC:-5.2405,-2.0119,0;-5.4719,-3.1625,0;-3.7447,-1.5085,0;-6.5811,-1.3083,0;-7.0332,-3.1913,0;-4.7135,-4.4488,0;-4.2881,-.2641,0;-5.8498,.0539,0;-7.9147,-.4837,0;-7.7711,-4.5287,0;-7.8221,-2.1825,0;-5.4574,-5.7919,0;-3.7513,.5497,0;-6.939,1.3873,0;-6.9985,-5.8386,0;-2.2394,.6502,0;-7.7153,-7.2367,0;-.7831,1.067,0;.5635,1.7323,0;-1.3027,2.5166,0;-.2962,-.3969,0;2.05,1.6313,0;1.7892,3.1528,0;3.48,1.0517,0;2.0106,.3565,0;2.9514,4.1209,0;4.6558,2.0244,0;1.431,-.9908,0;3.2719,-.143,0;4.402,3.5209,0;3.074,5.7583,0;5.9862,1.1536,0;5.6987,4.1181,0;1.6998,6.4934,0;3.9805,7.0629,0;1.0959,7.9147,0;-4.3979,-3.301,0;-6.4506,.2261,0;-3.1737,-4.4281,0;-4.2931,1.2759,0;-5.3267,1.5025,0;-9.271,-1.213,0;-4.6555,-7.1068,0;-3.8414,2.0871,0;-2.9133,1.8418,0;-8.459,1.14,0;-9.2534,-7.3134,0;-6.8798,-8.5303,0;3.9193,-.4243,0;4.4061,-.1788,0;4.2958,4.8718,0;6.1064,2.5415,0;5.9037,3.1801,0;1.7244,5.0167,0;5.9,-.384,0;5.8402,5.6515,0;1.1221,5.0658,0;.2264,6.0456,0;3.3245,8.4562,0;-.4327,8.1019,0;
</t>
  </si>
  <si>
    <t xml:space="preserve">C04121</t>
  </si>
  <si>
    <t xml:space="preserve">clpn120[c]</t>
  </si>
  <si>
    <t xml:space="preserve">Cardiolipin-AFE</t>
  </si>
  <si>
    <t xml:space="preserve">C57H108O17P2</t>
  </si>
  <si>
    <t xml:space="preserve">InChI=1/C57H110O17P2/c1-5-9-13-17-21-25-29-33-37-41-54(59)67-47-52(73-56(61)43-39-35-31-27-23-19-15-11-7-3)49-71-75(63,64)69-45-51(58)46-70-76(65,66)72-50-53(74-57(62)44-40-36-32-28-24-20-16-12-8-4)48-68-55(60)42-38-34-30-26-22-18-14-10-6-2/h51-53,58H,5-50H2,1-4H3,(H,63,64)(H,65,66)/p-2
AuxInfo=1/1/N:27,63,40,76,26,62,39,75,25,61,38,74,24,60,37,73,22,59,35,72,20,57,33,70,18,55,31,68,16,53,29,66,15,51,28,64,17,52,30,65,19,54,32,67,7,12,10,48,6,46,9,8,47,21,56,34,69,13,23,58,36,71,1,5,43,44,14,50,4,45,3,42,11,49,2,41/E:(1,2)(3,4)(5,6)(7,8)(9,10)(11,12)(13,14)(15,16)(17,18)(19,20)(21,22)(23,24)(25,26)(27,28)(29,30)(31,32)(33,34)(35,36)(37,38)(39,40)(41,42)(43,44)(45,46)(47,48)(49,50)(52,53)(54,55)(56,57)(59,60)(61,62)(63,64,65,66)(67,68)(69,70)(71,72)(73,74)(75,76)/gE:(1,2)/rA:184O-POOOCCCCCOCOOCCCCCCCCOCCCCCCCCCCCCOCCCCPOOO-OCCCOOCCCCCCCOCCCCCCCCCCCCOCCCCCHHHHHHHHHHHHHHHHHHHHHHHHHHHHHHHHHHHHHHHHHHHHHHHHHHHHHHHHHHHHHHHHHHHHHHHHHHHHHHHHHHHHHHHHHHHHHHHHHHHHHHHHHHHH/rB:s1;s2;s2;d2;s3;s4;s6;s7;s8;s8;s9;s9;s10;;s15;s15;s16;s17;s18;s14s19;s20;d21;s22;s24;s25;s26;;s28;s28;s29;s30;s31;s11s32;s33;d34;s35;s37;s38;s39;;s41;d41;s41;s12s41;s42;s46;s47;s47;s48;;s51;s51;s52;s53;s50s54;s55;d56;s57;s59;s60;s61;s62;;s64;s64;s65;s66;s49s67;s68;d69;s70;s72;s73;s74;s75;s6;s6;s7;s7;s8;s9;s10;s10;s12;s12;s13;s15;s15;s16;s16;s17;s17;s18;s18;s19;s19;s20;s20;s22;s22;s24;s24;s25;s25;s26;s26;s27;s27;s27;s28;s28;s29;s29;s30;s30;s31;s31;s32;s32;s33;s33;s35;s35;s37;s37;s38;s38;s39;s39;s40;s40;s40;s46;s46;s47;s48;s48;s51;s51;s52;s52;s53;s53;s54;s54;s55;s55;s57;s57;s59;s59;s60;s60;s61;s61;s62;s62;s63;s63;s63;s64;s64;s65;s65;s66;s66;s67;s67;s68;s68;s70;s70;s72;s72;s73;s73;s74;s74;s75;s75;s76;s76;s76;/rC:-8.6735,-12.5123,0;-7.1514,-12.3265,0;-7.6306,-10.828,0;-5.6049,-12.6678,0;-7.0304,-13.8509,0;-6.6659,-9.6387,0;-4.6585,-11.4059,0;-6.2981,-8.1491,0;-3.327,-10.5924,0;-5.0413,-7.2593,0;-7.4648,-7.2137,0;-2.2394,-9.4328,0;-2.1881,-11.5849,0;-4.9155,-5.743,0;-3.2301,-.8493,0;-1.9753,-.0162,0;-2.6904,-2.2842,0;-1.6794,1.4896,0;-3.6624,-3.4638,0;-.65,2.6815,0;-3.6633,-4.9638,0;-.5451,4.2075,0;-2.2715,-5.5556,0;.9016,4.8759,0;.3433,6.4176,0;1.6514,7.313,0;.9119,8.6083,0;-10.1952,-3.2196,0;-10.0604,-1.6929,0;-9.2236,-4.3893,0;-11.5539,-1.3862,0;-8.8762,-5.8891,0;-12.2674,-.0474,0;-7.3672,-5.7284,0;-13.3002,1.0901,0;-6.1522,-4.8029,0;-13.1372,2.6161,0;-14.6044,3.0835,0;-15.0108,4.5597,0;-16.313,5.3575,0;-.0342,-7.7357,0;.5068,-6.322,0;-.7793,-6.4021,0;1.0511,-8.7814,0;-.6998,-9.156,0;2.0265,-6.1874,0;2.6408,-4.8027,0;4.1741,-4.8261,0;1.3892,-3.9222,0;4.9829,-3.5325,0;9.0849,-.3207,0;7.9947,-1.4226,0;10.6088,-.2766,0;6.4923,-1.6352,0;11.1535,1.1474,0;6.4426,-3.1593,0;12.6019,1.6597,0;7.4168,-4.3071,0;13.0693,3.1323,0;14.6037,3.1653,0;15.596,4.3441,0;17.1222,4.5689,0;17.5831,6.0249,0;1.4097,1.8734,0;1.9716,.4361,0;2.361,3.0959,0;1.9553,-1.0916,0;1.7414,4.575,0;2.1726,-2.5999,0;3.2198,5.3461,0;3.556,-1.9779,0;3.4574,6.9655,0;4.2831,8.2744,0;4.555,9.7548,0;5.5686,10.8808,0;5.1486,12.3665,0;-5.6437,-11.3394,0;-4.942,-9.5566,0;-6.6812,-11.3923,0;-6.1938,-10.4832,0;-5.7673,-9.397,0;-3.9894,-9.1282,0;-3.9538,-8.0577,0;-3.3178,-6.8712,0;-2.9938,-7.7973,0;-1.1823,-8.2135,0;-2.1702,-13.2279,0;-4.3742,.3965,0;-4.653,-.955,0;-1.8868,-1.5928,0;-.3668,-.0907,0;-1.588,-3.0326,0;-2.5228,-3.8039,0;-3.2738,1.3546,0;-3.0262,2.5706,0;-4.5649,-2.0304,0;-5.1619,-3.1026,0;.2529,1.7759,0;1.0487,2.7169,0;-2.3598,4.2357,0;-2.0408,5.5125,0;1.6247,3.6365,0;2.304,5.4245,0;-1.6292,6.8199,0;-.8126,7.863,0;2.8646,6.2754,0;3.215,7.9277,0;1.9964,9.9057,0;.0192,10.2107,0;-.7474,9.0154,0;-11.7677,-3.6432,0;-10.9088,-4.7031,0;-8.6626,-1.0162,0;-9.4442,-.1305,0;-8.7373,-3.0065,0;-7.8771,-4.5965,0;-12.4229,-2.749,0;-13.1919,-1.6167,0;-10.4817,-6.3556,0;-9.6964,-7.3496,0;-10.7964,.3119,0;-11.6713,1.4226,0;-14.2485,-.2544,0;-14.9529,.9835,0;-11.6062,3.2891,0;-12.5776,4.15,0;-15.6636,1.8837,0;-16.2387,3.2529,0;-13.5964,5.4003,0;-14.7192,6.1973,0;-16.2458,7.0164,0;-17.6738,6.3142,0;-17.8304,4.7346,0;2.1769,-7.8378,0;3.3425,-7.2262,0;3.5629,-6.009,0;4.9157,-6.4383,0;5.7674,-5.2774,0;8.0668,.8846,0;9.2779,1.2761,0;9.3854,-2.1913,0;8.3197,-3.01,0;10.9665,-1.9033,0;12.0127,-1.1614,0;6.3717,.0549,0;7.3367,-.4396,0;9.9889,2.1144,0;11.2323,2.755,0;12.9804,.103,0;14.0945,.9867,0;11.8483,4.2849,0;13.0325,4.7593,0;15.0474,1.629,0;16.1371,2.6145,0;14.4446,5.4477,0;15.7138,6.1083,0;17.9977,3.1677,0;18.7708,4.39,0;19.2242,6.1755,0;18.2622,7.5434,0;16.4918,7.0924,0;.09,.904,0;.1253,2.9814,0;3.4826,.7969,0;3.1114,-.5236,0;3.6921,2.033,0;4.2924,3.2907,0;.4062,-1.4058,0;1.143,-2.3613,0;.3065,4.0723,0;.2486,5.4227,0;4.7736,4.3887,0;5.1345,5.6252,0;1.7791,6.4598,0;2.3014,8.4403,0;5.9578,7.6181,0;5.8455,8.885,0;3.1433,10.8046,0;4.2299,11.3323,0;7.1441,10.3072,0;7.0424,11.6853,0;6.5147,13.3278,0;5.1899,14.0594,0;3.892,13.4934,0;
</t>
  </si>
  <si>
    <t xml:space="preserve">C05980</t>
  </si>
  <si>
    <t xml:space="preserve">cmp[c]</t>
  </si>
  <si>
    <t xml:space="preserve">CMP</t>
  </si>
  <si>
    <t xml:space="preserve">C9H12N3O8P</t>
  </si>
  <si>
    <t xml:space="preserve">InChI=1/C9H14N3O8P/c10-5-1-2-12(9(15)11-5)8-7(14)6(13)4(20-8)3-19-21(16,17)18/h1-2,4,6-8,13-14H,3H2,(H2,10,11,15)(H2,16,17,18)/p-2/t4-,6-,7-,8-/s2
AuxInfo=1/1/N:20,18,17,15,21,13,14,16,19,12,11,10,3,4,6,7,8,9,5,2,1/E:(16,17,18)/rA:21POOOOOO-O-ONNNC.oC.eC.oC.oCCCCC/rB:;;;s1;;s1;s1;d1;;;;s3;s4s13;s2s13;s2s10s14;s5s15;s10;d6s10s11;d-18;d+11s12s20;/rC:10.612,-5.0462,0;7.7459,-1.2507,0;4.8248,-3.9613,0;3.7897,-.7749,0;9.7069,-3.8002,0;3.8328,1.1947,0;11.5173,-6.292,0;11.8578,-4.141,0;9.3662,-5.9511,0;6.5001,1.1947,0;5.1664,3.5047,0;6.5001,5.8147,0;5.7301,-2.7153,0;5.2541,-1.2507,0;7.2701,-2.7153,0;6.5001,-.3453,0;8.1753,-3.9613,0;7.8337,1.9647,0;5.1664,1.9647,0;7.8337,3.5047,0;6.5001,4.2747,0;
</t>
  </si>
  <si>
    <t xml:space="preserve">C00055</t>
  </si>
  <si>
    <t xml:space="preserve">co2[c]</t>
  </si>
  <si>
    <t xml:space="preserve">CO2</t>
  </si>
  <si>
    <t xml:space="preserve">InChI=1S/CO2/c2-1-3
AuxInfo=1/0/N:3,1,2/E:(2,3)/rA:3OOC/rB:;d1d2;/rC:5.7475,.77,0;3.08,-.77,0;4.4137,0,0;
</t>
  </si>
  <si>
    <t xml:space="preserve">C00011</t>
  </si>
  <si>
    <t xml:space="preserve">coa[c]</t>
  </si>
  <si>
    <t xml:space="preserve">CoA</t>
  </si>
  <si>
    <t xml:space="preserve">C21H32N7O16P3S</t>
  </si>
  <si>
    <t xml:space="preserve">InChI=1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?,20-/s2
AuxInfo=1/1/N:39,40,45,44,47,48,32,38,43,34,30,46,36,29,28,37,41,33,42,31,35,26,27,25,24,23,22,21,20,7,14,18,11,12,13,15,16,17,19,8,9,5,6,10,2,3,4,1/E:(1,2)(33,34,35)(36,37)(38,39)/rA:48SPPPOOOOOOO-O-OOO-OO-OOONNNNNNNC.oC.eC.oC.oCCCCCCCCCCCCCCCCC/rB:;;;;s2;;s3;s4;s3s4;s2;s2;d2;;s3;d3;s4;;d4;;;;;;;;;s6;s7s28;s5s28;s5s21s29;s8s30;s21d+23;s21d-22;;s22s33;s14s35;s9s35;s35;s35;s24s26d+36;d18s25s37;s23d-24;s25;s44;d20s27s45;s27;s1s47;/rC:4.0135,12.3232,0;24.379,-1.8146,0;19.3736,-.5173,0;17.3945,1.271,0;20.9188,-5.0154,0;24.5373,-3.3464,0;24.5315,-6.6969,0;19.847,-1.9828,0;15.8887,1.5938,0;18.9002,.9483,0;24.2207,-.2828,0;25.911,-1.6563,0;22.8473,-1.9729,0;11.3712,2.5622,0;17.9081,-.9906,0;20.8391,-.0441,0;17.7173,2.7769,0;12.9629,6.3129,0;17.0718,-.2348,0;9.0044,9.8894,0;21.3435,-7.7267,0;21.3435,-10.2053,0;18.5524,-7.426,0;17.2189,-9.736,0;10.4246,5.493,0;18.5524,-12.046,0;6.4663,9.0694,0;23.29,-4.2495,0;23.2872,-5.7895,0;21.826,-3.771,0;21.8217,-6.2629,0;21.3528,-2.3055,0;19.8863,-8.196,0;22.2423,-8.966,0;13.9095,3.382,0;19.8863,-9.736,0;12.4036,3.7048,0;15.4153,3.0593,0;14.2322,4.8877,0;13.5867,1.8762,0;18.5524,-10.506,0;11.9304,5.1703,0;17.2189,-8.196,0;9.9512,6.9586,0;8.4454,7.2813,0;7.972,8.7466,0;5.9927,10.5349,0;4.4869,10.8578,0;
</t>
  </si>
  <si>
    <t xml:space="preserve">C00010</t>
  </si>
  <si>
    <t xml:space="preserve">coxhxcsACP[c]</t>
  </si>
  <si>
    <t xml:space="preserve">cis-oxohexadecenoyl-ACP</t>
  </si>
  <si>
    <t xml:space="preserve">C27H47N2O9PRS</t>
  </si>
  <si>
    <t xml:space="preserve">coxocdaACP[c]</t>
  </si>
  <si>
    <t xml:space="preserve">cis-oxooctadecenoyl-ACP</t>
  </si>
  <si>
    <t xml:space="preserve">C29H51N2O9PRS</t>
  </si>
  <si>
    <t xml:space="preserve">coxododACP[c]</t>
  </si>
  <si>
    <t xml:space="preserve">cis-oxododecenoyl-ACP</t>
  </si>
  <si>
    <t xml:space="preserve">C23H39N2O9PRS</t>
  </si>
  <si>
    <t xml:space="preserve">coxtdeACP[c]</t>
  </si>
  <si>
    <t xml:space="preserve">cis-oxotetradecenoyl-ACP</t>
  </si>
  <si>
    <t xml:space="preserve">C25H43N2O9PRS</t>
  </si>
  <si>
    <t xml:space="preserve">cpppg3[c]</t>
  </si>
  <si>
    <t xml:space="preserve">Coproporphyrinogen_III</t>
  </si>
  <si>
    <t xml:space="preserve">C36H40N4O8</t>
  </si>
  <si>
    <t xml:space="preserve">InChI=1S/C36H44N4O8/c1-17-21(5-9-33(41)42)29-14-27-19(3)22(6-10-34(43)44)30(39-27)15-28-20(4)24(8-12-36(47)48)32(40-28)16-31-23(7-11-35(45)46)18(2)26(38-31)13-25(17)37-29/h37-40H,5-16H2,1-4H3,(H,41,42)(H,43,44)(H,45,46)(H,47,48)/p-4
AuxInfo=1/1/N:40,39,38,37,36,35,34,33,44,43,42,41,24,22,19,16,32,31,30,29,28,27,26,25,23,21,20,17,18,15,14,13,48,47,46,45,12,10,11,9,4,8,3,7,2,6,1,5/E:(41,42)(43,44)(45,46)(47,48)/rA:88O-O-O-O-OOOONNNNCCCCCCCCCCCCCCCCCCCCCCCCCCCCCCCCCCCCHHHHHHHHHHHHHHHHHHHHHHHHHHHHHHHHHHHHHHHH/rB:;;;;;;;;;;;s9;s10;s11;s13s14;s9;s12;s15s17;s11;s10;s18s20;s12;s21s23;d-13;d-14;d-15;d-18;d-17s25;d-20s27;d-21s26;d-23s28;s25;s26;s27;s28;s29;s30;s31;s32;s33;s34;s35;s36;s1d5s41;s2d6s42;s3d7s43;s4d8s44;s16;s16;s19;s19;s22;s22;s24;s24;s9;s10;s11;s12;s33;s33;s34;s34;s35;s35;s36;s36;s37;s37;s37;s38;s38;s38;s39;s39;s39;s40;s40;s40;s41;s41;s42;s42;s43;s43;s44;s44;/rC:12.3986,9.8526,0;3.8397,1.4196,0;23.7826,1.4724,0;15.1725,-9.8526,0;10.2504,8.2714,0;5.455,3.5424,0;22.167,3.5948,0;17.3208,-8.2714,0;13.7598,2.0834,0;11.4961,-.0258,0;16.1241,-.0258,0;13.8113,-2.1347,0;12.5248,3.0604,0;10.6219,1.1575,0;16.9981,1.2092,0;11.0344,2.6479,0;15.0463,3.1121,0;15.0463,-3.0604,0;16.5366,2.6479,0;17.0496,-1.1575,0;10.6219,-1.2092,0;16.5879,-2.6479,0;12.5763,-3.1121,0;11.0861,-2.6479,0;12.9888,4.5507,0;9.1317,.745,0;18.4908,.7967,0;14.5822,-4.5507,0;14.5305,4.5507,0;18.4908,-.745,0;9.1317,-.7967,0;13.0403,-4.5507,0;12.076,5.791,0;7.9061,1.6776,0;19.7163,1.7295,0;15.495,-5.791,0;15.417,5.81,0;19.7206,-1.6722,0;7.798,-1.5667,0;12.0075,-5.693,0;12.6937,7.2016,0;6.4859,1.0823,0;21.1366,1.1346,0;14.8773,-7.2016,0;11.7809,8.442,0;5.2601,2.0147,0;22.3621,2.0673,0;15.7901,-8.442,0;10.9487,3.5987,0;10.0835,2.7335,0;17.486,2.7492,0;16.6298,3.598,0;16.6589,-3.6001,0;17.5368,-2.7556,0;10.1369,-2.7503,0;10.9934,-3.5982,0;13.7622,1.1286,0;12.4509,-.0258,0;15.1698,-.059,0;13.7988,-1.1801,0;11.2812,6.32,0;11.4171,5.0999,0;8.6074,2.3255,0;7.3898,2.4806,0;20.2324,2.5327,0;19.0148,2.3772,0;16.2898,-6.32,0;16.1541,-5.0999,0;16.1978,5.2603,0;15.9667,6.5906,0;14.6362,6.3595,0;19.1457,-2.4345,0;20.4829,-2.2471,0;20.2953,-.9098,0;7.3207,-.7398,0;6.9713,-2.0442,0;8.2755,-2.3936,0;11.2993,-5.0523,0;11.3671,-6.401,0;12.7157,-6.3332,0;13.4885,6.6724,0;13.3526,7.8925,0;5.7844,.4344,0;7.0022,.2793,0;20.6205,.3313,0;21.8381,.4868,0;14.0825,-6.6724,0;14.2182,-7.8925,0;
</t>
  </si>
  <si>
    <t xml:space="preserve">C03263</t>
  </si>
  <si>
    <t xml:space="preserve">csn[c]</t>
  </si>
  <si>
    <t xml:space="preserve">Cytosine</t>
  </si>
  <si>
    <t xml:space="preserve">C4H5N3O</t>
  </si>
  <si>
    <t xml:space="preserve">InChI=1S/C4H5N3O/c5-3-1-2-6-4(8)7-3/h1-2H,(H3,5,6,7,8)
AuxInfo=1/1/N:6,8,5,7,3,4,2,1/rA:13ONNNCCCCHHHHH/rB:;;;s2s3;d-5;d1s2s4;d-4s6;s2;s6;s8;s3;s3;/rC:9.2417,-1.0627,0;6.5744,-1.0627,0;3.9069,-1.0627,0;7.9081,1.2475,0;5.2407,-.2927,0;5.2407,1.2475,0;7.9081,-.2927,0;6.5744,2.0175,0;6.5744,-2.0175,0;4.4137,1.7248,0;6.5744,2.9723,0;3.08,-.5852,0;3.9069,-2.0175,0;
</t>
  </si>
  <si>
    <t xml:space="preserve">C00380</t>
  </si>
  <si>
    <t xml:space="preserve">ctdeACP[c]</t>
  </si>
  <si>
    <t xml:space="preserve">cis-Tetradecenoyl-ACP</t>
  </si>
  <si>
    <t xml:space="preserve">C25H45N2O8PRS</t>
  </si>
  <si>
    <t xml:space="preserve">ctp[c]</t>
  </si>
  <si>
    <t xml:space="preserve">CTP</t>
  </si>
  <si>
    <t xml:space="preserve">C9H12N3O14P3</t>
  </si>
  <si>
    <t xml:space="preserve">InChI=1/C9H16N3O14P3/c10-5-1-2-12(9(15)11-5)8-7(14)6(13)4(24-8)3-23-28(19,20)26-29(21,22)25-27(16,17)18/h1-2,4,6-8,13-14H,3H2,(H,19,20)(H,21,22)(H2,10,11,15)(H2,16,17,18)/p-3/t4-,6-,7-,8-/s2
AuxInfo=1/1/N:28,26,25,23,29,21,22,24,27,20,19,18,5,6,8,15,16,17,10,11,13,14,7,4,12,9,3,1,2/E:(16,17,18)(19,20)(21,22)/rA:29PPPOOOOOOO-OOO-OO-OONNNC.oC.eC.oC.oCCCCC/rB:;;;;;s1;;s1s2;s1;d1;s2s3;s2;d2;s3;s3;d3;;;;s5;s6s21;s4s21;s4s18s22;s7s23;s18;d8s18s19;d-26;d+19s20s28;/rC:10.612,-3.9613,0;13.0487,-5.0462,0;15.4855,-6.1311,0;7.7459,-.1658,0;4.8248,-2.8763,0;3.7897,.3102,0;9.7069,-2.7153,0;3.8328,2.2796,0;11.5173,-5.2071,0;11.8578,-3.0559,0;9.3662,-4.8664,0;14.5803,-4.8851,0;13.2098,-6.5778,0;12.8878,-3.5144,0;16.3908,-7.3769,0;16.7315,-5.2259,0;14.2397,-7.0362,0;6.5001,2.2796,0;5.1664,4.5896,0;6.5001,6.8996,0;5.7301,-1.6303,0;5.2541,-.1658,0;7.2701,-1.6303,0;6.5001,.7396,0;8.1753,-2.8763,0;7.8337,3.0496,0;5.1664,3.0496,0;7.8337,4.5896,0;6.5001,5.3596,0;
</t>
  </si>
  <si>
    <t xml:space="preserve">C00063</t>
  </si>
  <si>
    <t xml:space="preserve">cu2[c]</t>
  </si>
  <si>
    <t xml:space="preserve">Cu2</t>
  </si>
  <si>
    <t xml:space="preserve">Cu</t>
  </si>
  <si>
    <t xml:space="preserve">InChI=1S/Cu/q+2
AuxInfo=1/0/N:1/rA:1Cu+2/rB:/rC:;
</t>
  </si>
  <si>
    <t xml:space="preserve">C00070</t>
  </si>
  <si>
    <t xml:space="preserve">cu2[e]</t>
  </si>
  <si>
    <t xml:space="preserve">cu2[p]</t>
  </si>
  <si>
    <t xml:space="preserve">cys-L[c]</t>
  </si>
  <si>
    <t xml:space="preserve">L-Cysteine</t>
  </si>
  <si>
    <t xml:space="preserve">C3H7NO2S</t>
  </si>
  <si>
    <t xml:space="preserve">InChI=1/C3H7NO2S/c4-2(1-7)3(5)6/h2,7H,1,4H2,(H,5,6)/t2-/s2
AuxInfo=1/1/N:6,5,7,4,2,3,1/E:(5,6)/rA:7SO-ON+C.oCC/rB:;;;s4;s1s5;s2d3s5;/rC:3.9069,-1.8327,0;7.9081,.4775,0;6.5744,2.7875,0;3.9069,1.2475,0;5.2407,.4775,0;5.2407,-1.0627,0;6.5744,1.2475,0;
</t>
  </si>
  <si>
    <t xml:space="preserve">C00097</t>
  </si>
  <si>
    <t xml:space="preserve">cytcAo[p]</t>
  </si>
  <si>
    <t xml:space="preserve">cycA1</t>
  </si>
  <si>
    <t xml:space="preserve">cytcAr[p]</t>
  </si>
  <si>
    <t xml:space="preserve">cycA1_red</t>
  </si>
  <si>
    <t xml:space="preserve">cytcco[p]</t>
  </si>
  <si>
    <t xml:space="preserve">cyc1</t>
  </si>
  <si>
    <t xml:space="preserve">cytccr[p]</t>
  </si>
  <si>
    <t xml:space="preserve">cyc1_red</t>
  </si>
  <si>
    <t xml:space="preserve">cytd[c]</t>
  </si>
  <si>
    <t xml:space="preserve">Cytidine</t>
  </si>
  <si>
    <t xml:space="preserve">C9H13N3O5</t>
  </si>
  <si>
    <t xml:space="preserve">InChI=1/C9H13N3O5/c10-5-1-2-12(9(16)11-5)8-7(15)6(14)4(3-13)17-8/h1-2,4,6-8,13-15H,3H2,(H2,10,11,16)/t4-,6-,7-,8-/s2
AuxInfo=1/1/N:16,14,13,12,17,10,9,11,15,8,7,6,4,3,2,5,1/rA:17OOOOONNNC.eC.oC.oC.oCCCCC/rB:;;;;;;;s2;s3s9;s1s6s9;s1s10;s4s12;s6;d5s6s7;d-14;d+7s8s16;/rC:7.7461,-1.98,0;3.7897,-1.504,0;4.825,-4.6906,0;9.707,-4.5295,0;3.8328,.4652,0;6.5001,.4652,0;5.1666,2.7754,0;6.5001,5.0854,0;5.2543,-1.98,0;5.7301,-3.4446,0;6.5001,-1.0748,0;7.2701,-3.4446,0;8.1754,-4.6906,0;7.8338,1.2352,0;5.1666,1.2352,0;7.8338,2.7754,0;6.5001,3.5454,0;
</t>
  </si>
  <si>
    <t xml:space="preserve">C00475</t>
  </si>
  <si>
    <t xml:space="preserve">d4ppp[c]</t>
  </si>
  <si>
    <t xml:space="preserve">D-4'-phosphopantothenate</t>
  </si>
  <si>
    <t xml:space="preserve">C9H15NO8P</t>
  </si>
  <si>
    <t xml:space="preserve">InChI=1S/C9H18NO8P/c1-9(2,5-18-19(15,16)17)7(13)8(14)10-4-3-6(11)12/h7,13H,3-5H2,1-2H3,(H,10,14)(H,11,12)(H2,15,16,17)/p-3/t7-/m0/s1
AuxInfo=1/1/N:15,16,18,17,13,19,12,14,11,10,8,9,3,7,4,5,6,2,1/E:(1,2)(11,12)(15,16,17)/it:im/rA:19POOOO-O-OOO-NCC.eCCCCCCC/rB:s1;;d1;s1;s1;;;;;;s3s11;s2s11;d7s10s12;s11;s11;s10;s17;d8s9s18;/rC:21.4801,-19.2787,0;22.9649,-19.2787,0;26.813,-17.0583,0;21.4801,-20.7633,0;20.0023,-19.2787,0;21.4801,-17.8005,0;28.0935,-20.7633,0;33.4421,-20.7913,0;34.7758,-18.4813,0;29.4407,-18.4813,0;25.5325,-19.2787,0;26.813,-18.5431,0;24.2452,-18.5431,0;28.0935,-19.2787,0;26.474,-20.7157,0;24.5879,-20.7403,0;30.7746,-19.2513,0;32.1083,-18.4813,0;33.4421,-19.2513,0;
</t>
  </si>
  <si>
    <t xml:space="preserve">dad-2[c]</t>
  </si>
  <si>
    <t xml:space="preserve">Deoxyadenosine</t>
  </si>
  <si>
    <t xml:space="preserve">C10H13N5O3</t>
  </si>
  <si>
    <t xml:space="preserve">InChI=1/C10H13N5O3/c11-9-8-10(13-3-12-9)15(4-14-8)7-1-5(17)6(2-16)18-7/h3-7,16-17H,1-2H2,(H2,11,12,13)/t5-,6+,7+/s2
AuxInfo=1/1/N:11,13,18,15,10,12,9,16,17,14,8,7,6,5,4,3,2,1/rA:31OOONNNNNC.eC.eCC.eCCCCCCHHHHHHHHHHHHH/rB:;;;;;;;s1s4;s2;s9s10;s1s10;s3s12;s4d+6;s4d-5;s5s14;s7s8d+16;s6d-7;s9;s10;s11;s11;s12;s13;s13;s15;s2;s3;s18;s8;s8;/rC:6.7801,1.3735,0;10.3988,3.0425,0;8.2466,5.2259,0;7.2048,-1.3378,0;7.2048,-3.8166,0;4.4137,-1.0371,0;3.08,-3.3471,0;4.4137,-5.6571,0;7.683,.126,0;9.1511,2.1394,0;9.1485,.5994,0;7.6873,2.6178,0;7.2141,4.0833,0;5.7475,-1.8071,0;8.1036,-2.5771,0;5.7475,-3.3471,0;4.4137,-4.1171,0;3.08,-1.8071,0;8.3571,-.5503,0;10.0012,1.7045,0;9.3455,-.3349,0;10.0983,.6976,0;6.7446,2.7688,0;6.6276,4.8367,0;6.3702,3.6365,0;9.0584,-2.5771,0;11.2702,2.6525,0;7.9531,6.1346,0;2.2533,-1.3296,0;3.5868,-6.1346,0;5.2407,-6.1346,0;
</t>
  </si>
  <si>
    <t xml:space="preserve">C00559</t>
  </si>
  <si>
    <t xml:space="preserve">dad-5[c]</t>
  </si>
  <si>
    <t xml:space="preserve">5'-Deoxyadenosine</t>
  </si>
  <si>
    <t xml:space="preserve">InChI=1/C10H13N5O3/c1-4-6(16)7(17)10(18-4)15-3-14-5-8(11)12-2-13-9(5)15/h2-4,6-7,10,16-17H,1H3,(H2,11,12,13)/t4-,6-,7-,10-/s2
AuxInfo=1/1/N:13,18,15,12,16,11,9,17,14,10,8,7,6,5,4,3,2,1/rA:31OOONNNNNC.eC.eC.eC.eCCCCCCHHHHHHHHHHHHH/rB:;;;;;;;s2;s1s4s9;s3s9;s1s11;s12;s4d+6;s4d-5;s5s14;s7s8d+16;s6d-7;s9;s10;s11;s12;s13;s13;s13;s2;s3;s15;s18;s8;s8;/rC:9.1491,1.2708,0;5.2405,2.0477,0;7.2145,4.755,0;7.2051,-.6664,0;7.2051,-3.1451,0;4.4139,-.3659,0;3.0802,-2.6759,0;4.4139,-4.9861,0;6.7805,2.0449,0;7.6836,.7974,0;7.6879,3.2894,0;9.1517,2.811,0;10.3994,3.7141,0;5.7477,-1.1359,0;8.1039,-1.9057,0;5.7477,-2.6759,0;4.4139,-3.4459,0;3.0802,-1.1359,0;6.3483,2.8965,0;8.3576,.121,0;8.3642,3.9635,0;10.0018,2.3759,0;10.9592,2.9406,0;11.1727,4.2739,0;9.8394,4.4877,0;4.7643,2.8754,0;7.8546,5.4634,0;9.0587,-1.9057,0;2.2533,-.6584,0;3.5872,-5.4634,0;5.241,-5.4634,0;
</t>
  </si>
  <si>
    <t xml:space="preserve">C05198</t>
  </si>
  <si>
    <t xml:space="preserve">dadp[c]</t>
  </si>
  <si>
    <t xml:space="preserve">dADP</t>
  </si>
  <si>
    <t xml:space="preserve">C10H12N5O9P2</t>
  </si>
  <si>
    <t xml:space="preserve">InChI=1/C10H15N5O9P2/c11-9-8-10(13-3-12-9)15(4-14-8)7-1-5(16)6(23-7)2-22-26(20,21)24-25(17,18)19/h3-7,16H,1-2H2,(H,20,21)(H2,11,12,13)(H2,17,18,19)/p-2/t5-,6+,7+/s2
AuxInfo=1/1/N:20,21,26,23,17,18,19,24,25,22,16,15,14,13,12,4,9,10,11,7,8,5,3,6,2,1/E:(17,18,19)(20,21)/rA:39PPOOOOO-OOO-ONNNNNC.oC.eC.eCCCCCCCHHHHHHHHHHHHH/rB:;;;s1;s1s2;s1;d1;s2;s2;d2;;;;;;s4;s3s17;s3s12;s17s19;s5s18;s12d+14;s12d-13;s13s22;s15s16d+24;s14d-15;s17;s18;s19;s20;s20;s21;s21;s4;s23;s26;s16;s16;s9;/rC:7.7732,4.0831,0;8.3321,6.6914,0;6.7801,-1.2346,0;10.3986,.4344,0;8.2466,2.6178,0;7.2996,5.5487,0;9.2385,4.5565,0;6.3077,3.6099,0;9.3647,7.834,0;7.1897,7.7239,0;9.4748,5.659,0;7.2046,-3.9459,0;7.2046,-6.4245,0;4.4137,-3.6452,0;3.08,-5.9552,0;4.4137,-8.2652,0;9.1511,-.4687,0;7.6873,.0097,0;7.683,-2.4823,0;9.1485,-2.0087,0;7.2141,1.4752,0;5.7473,-4.4152,0;8.1034,-5.1852,0;5.7473,-5.9552,0;4.4137,-6.7252,0;3.08,-4.4152,0;10.0012,-.9037,0;6.7445,.1605,0;8.3571,-3.1584,0;9.3455,-2.943,0;10.0983,-1.9105,0;6.6274,2.2286,0;6.3702,1.0283,0;11.2702,.0444,0;9.0582,-5.1852,0;2.2533,-3.9379,0;3.5868,-8.7427,0;5.2407,-8.7427,0;9.0713,8.7427,0;
</t>
  </si>
  <si>
    <t xml:space="preserve">C00206</t>
  </si>
  <si>
    <t xml:space="preserve">dag3pi_AFE[c]</t>
  </si>
  <si>
    <t xml:space="preserve">1,2-Diacyl-sn-glycerol_3-phosphate-AFE</t>
  </si>
  <si>
    <t xml:space="preserve">dann[c]</t>
  </si>
  <si>
    <t xml:space="preserve">7,8-Diaminononanoate</t>
  </si>
  <si>
    <t xml:space="preserve">C9H21N2O2</t>
  </si>
  <si>
    <t xml:space="preserve">InChI=1/C9H20N2O2/c1-7(10)8(11)5-3-2-4-6-9(12)13/h7-8H,2-6,10-11H2,1H3,(H,12,13)/p+1
AuxInfo=1/1/N:11,9,7,10,6,12,8,5,13,4,3,1,2/E:(12,13)/rA:32O-ON+N+CCCCCCCCCHHHHHHHHHHHHHHHHHHH/rB:;;;s3;s5;s6;s4s5;s7;s9;s8;s10;s1d2s12;s5;s6;s6;s7;s7;s8;s9;s9;s10;s10;s11;s11;s11;s3;s3;s12;s12;s4;s4;/rC:4.4137,-5.1514,0;3.08,-2.8414,0;7.0812,4.0887,0;11.0824,3.3187,0;8.4149,3.3187,0;8.4149,1.7787,0;7.0812,1.0087,0;9.7485,4.0887,0;7.0812,-.5313,0;5.7475,-1.3013,0;9.7485,5.6287,0;5.7475,-2.8414,0;4.4137,-3.6114,0;8.4149,4.2735,0;8.7416,.8814,0;9.3552,1.9447,0;6.7545,1.9059,0;6.141,.8428,0;10.5756,4.5662,0;7.4077,-1.4286,0;8.0216,-.3655,0;5.421,-.4041,0;4.8072,-1.4672,0;10.7035,5.6287,0;9.7485,6.5837,0;8.7937,5.6287,0;6.2543,3.6114,0;7.0812,5.0435,0;6.0741,-3.7386,0;6.6877,-2.6755,0;11.9091,3.7962,0;11.0824,2.3639,0;
</t>
  </si>
  <si>
    <t xml:space="preserve">C01037</t>
  </si>
  <si>
    <t xml:space="preserve">datp[c]</t>
  </si>
  <si>
    <t xml:space="preserve">dATP</t>
  </si>
  <si>
    <t xml:space="preserve">C10H12N5O12P3</t>
  </si>
  <si>
    <t xml:space="preserve">InChI=1/C10H16N5O12P3/c11-9-8-10(13-3-12-9)15(4-14-8)7-1-5(16)6(25-7)2-24-29(20,21)27-30(22,23)26-28(17,18)19/h3-7,16H,1-2H2,(H,20,21)(H,22,23)(H2,11,12,13)(H2,17,18,19)/p-3/t5-,6+,7+/s2
AuxInfo=1/1/N:24,25,30,27,21,22,23,28,29,26,20,19,18,17,16,5,13,14,15,8,9,11,12,6,4,10,7,3,1,2/E:(17,18,19)(20,21)(22,23)/rA:30PPPOOOOO-OOO-OOO-ONNNNNC.eC.oC.oCCCCCCC/rB:;;;;s1;s1s2;s1;d1;s2s3;s2;d2;s3;s3;d3;;;;;;s5;s4s21;s4s16;s21s23;s6s22;s16d+18;s16d-17;s17s26;s19s20d+28;s18d-19;/rC:7.7732,2.7179,0;8.3321,5.326,0;8.8913,7.9343,0;6.7801,-2.6001,0;10.3986,-.9311,0;8.2466,1.2523,0;7.2996,4.1834,0;9.2385,3.1913,0;6.3077,2.2447,0;9.3647,6.4687,0;7.1897,6.3584,0;9.4748,4.2935,0;8.4179,9.3996,0;10.3568,8.4077,0;7.4258,7.4607,0;7.2046,-5.3114,0;7.2046,-7.7898,0;4.4137,-5.0107,0;3.08,-7.3207,0;4.4137,-9.6307,0;9.1511,-1.8342,0;7.6873,-1.3558,0;7.683,-3.8476,0;9.1485,-3.3742,0;7.2141,.1098,0;5.7473,-5.7807,0;8.1034,-6.5507,0;5.7473,-7.3207,0;4.4137,-8.0907,0;3.08,-5.7807,0;
</t>
  </si>
  <si>
    <t xml:space="preserve">C00131</t>
  </si>
  <si>
    <t xml:space="preserve">db4p[c]</t>
  </si>
  <si>
    <t xml:space="preserve">3,4-Dihydroxy-2-butanone_4-phosphate</t>
  </si>
  <si>
    <t xml:space="preserve">C4H7O6P</t>
  </si>
  <si>
    <t xml:space="preserve">InChI=1/C4H9O6P/c1-3(5)4(6)2-10-11(7,8)9/h4,6H,2H2,1H3,(H2,7,8,9)/p-2
AuxInfo=1/1/N:11,9,10,8,4,3,5,6,7,2,1/E:(7,8,9)/rA:18POOOO-O-OCCCCHHHHHHH/rB:s1;;;s1;s1;d1;s3;s2s8;d4s8;s10;s8;s9;s9;s11;s11;s11;s3;/rC:5.241,-.6237,0;6.575,.1463,0;9.2424,1.6865,0;10.5763,-2.164,0;3.9073,-1.3938,0;4.471,.7099,0;6.011,-1.9576,0;9.2424,.1463,0;7.9087,-.6237,0;10.5763,-.6237,0;11.9101,.1463,0;10.3762,.8008,0;7.2949,-1.3552,0;8.5223,-1.3552,0;12.3876,-.6806,0;12.737,.6237,0;11.4328,.9731,0;10.0695,2.164,0;
</t>
  </si>
  <si>
    <t xml:space="preserve">C15556</t>
  </si>
  <si>
    <t xml:space="preserve">dcaACP[c]</t>
  </si>
  <si>
    <t xml:space="preserve">Decanoyl-ACP</t>
  </si>
  <si>
    <t xml:space="preserve">C21H39N2O8PRS</t>
  </si>
  <si>
    <t xml:space="preserve">C05755</t>
  </si>
  <si>
    <t xml:space="preserve">dcamp[c]</t>
  </si>
  <si>
    <t xml:space="preserve">N6-1,2-dicarboxyethylAMP</t>
  </si>
  <si>
    <t xml:space="preserve">C14H14N5O11P</t>
  </si>
  <si>
    <t xml:space="preserve">InChI=1/C14H18N5O11P/c20-7(21)1-5(14(24)25)18-11-8-12(16-3-15-11)19(4-17-8)13-10(23)9(22)6(30-13)2-29-31(26,27)28/h3-6,9-10,13,22-23H,1-2H2,(H,20,21)(H,24,25)(H,15,16,18)(H2,26,27,28)/p-4/t5-,6+,9+,10+,13+/s2
AuxInfo=1/1/N:29,22,28,24,27,21,31,25,19,18,26,23,20,30,17,15,14,16,13,11,12,4,3,9,10,6,7,8,5,2,1/E:(20,21)(24,25)(26,27,28)/rA:45POOOOO-O-OO-OO-ONNNNNC.oC.eC.eC.eCCCCCC.eCCCCHHHHHHHHHHHHHH/rB:;;;s1;s1;s1;d1;;;;;;;;;;s3;s4s18;s2s13s18;s2s19;s5s21;s13d+15;s13d-14;s14s23;s16s17d-25;s16;s15d-17;s27;s9d10s27;s11d12s29;s18;s19;s20;s21;s22;s22;s3;s4;s24;s16;s27;s28;s29;s29;/rC:12.6011,7.1047,0;11.6082,1.7868,0;15.221,.1053,0;15.2268,3.4558,0;13.0745,5.6394,0;12.1277,8.5702,0;14.0666,7.5781,0;11.1356,6.6313,0;6.5744,-8.3238,0;9.2417,-8.3238,0;3.9069,-5.2438,0;5.2407,-7.5538,0;12.0327,-.9246,0;12.0327,-3.4031,0;9.2417,-.6237,0;9.2417,-5.2438,0;7.9081,-2.9338,0;13.9767,1.0127,0;13.9793,2.5529,0;12.5111,.5393,0;12.5156,3.0311,0;12.0421,4.4966,0;10.5756,-1.3937,0;12.9315,-2.1638,0;10.5756,-2.9338,0;9.2417,-3.7038,0;7.9081,-6.0138,0;7.9081,-1.3937,0;6.5744,-5.2438,0;7.9081,-7.5538,0;5.2407,-6.0138,0;14.8281,1.4446,0;13.8314,3.4961,0;13.1852,-.1368,0;11.5728,3.1821,0;11.4555,5.2502,0;11.1981,4.0499,0;16.094,.4922,0;16.0985,3.0658,0;13.8863,-2.1638,0;10.0688,-5.7211,0;7.9081,-5.059,0;7.0812,-.9163,0;7.1882,-4.5125,0;5.9606,-4.5125,0;
</t>
  </si>
  <si>
    <t xml:space="preserve">C03794</t>
  </si>
  <si>
    <t xml:space="preserve">dcdp[c]</t>
  </si>
  <si>
    <t xml:space="preserve">dCDP</t>
  </si>
  <si>
    <t xml:space="preserve">C9H12N3O10P2</t>
  </si>
  <si>
    <t xml:space="preserve">InChI=1/C9H15N3O10P2/c10-7-1-2-12(9(14)11-7)8-3-5(13)6(21-8)4-20-24(18,19)22-23(15,16)17/h1-2,5-6,8,13H,3-4H2,(H,18,19)(H2,10,11,14)(H2,15,16,17)/p-2/t5-,6+,8+/s2
AuxInfo=1/1/N:23,21,18,20,16,17,24,19,22,15,14,13,4,6,10,11,12,8,9,5,3,7,2,1/E:(15,16,17)(18,19)/rA:37PPOOOOOO-OO-OONNNC.oC.eCC.eCCCCCHHHHHHHHHHHHH/rB:;;;s1;;s1s2;s1;d1;s2;s2;d2;;;;s4;s3s16;s16;s3s13s18;s5s17;s13;d6s13s14;d-21;d+14s15s23;s16;s17;s18;s18;s19;s20;s20;s4;s21;s23;s15;s15;s11;/rC:9.8594,-4.0802,0;12.2961,-5.1651,0;6.9933,-.2847,0;4.0723,-2.9953,0;8.9542,-2.8342,0;3.08,2.1605,0;10.7645,-5.3262,0;11.1054,-3.175,0;8.6134,-4.9853,0;13.8277,-5.0042,0;12.4572,-6.6967,0;12.1352,-3.6335,0;5.7473,2.1605,0;4.4137,4.4705,0;5.7473,6.7805,0;4.9773,-1.7494,0;6.5173,-1.7494,0;4.5015,-.2847,0;5.7473,.6205,0;7.4226,-2.9953,0;7.0812,2.9305,0;4.4137,2.9305,0;7.0812,4.4705,0;5.7473,5.2405,0;5.4109,-2.6001,0;7.4605,-1.6001,0;4.024,.5421,0;3.6292,-.6731,0;6.5981,1.0539,0;6.5645,-3.4139,0;7.6856,-3.9131,0;3.1227,-2.8956,0;7.9079,2.453,0;7.9079,4.948,0;6.5742,7.258,0;4.9205,7.258,0;11.6846,-7.258,0;
</t>
  </si>
  <si>
    <t xml:space="preserve">C00705</t>
  </si>
  <si>
    <t xml:space="preserve">dcmp[c]</t>
  </si>
  <si>
    <t xml:space="preserve">dCMP</t>
  </si>
  <si>
    <t xml:space="preserve">C9H12N3O7P</t>
  </si>
  <si>
    <t xml:space="preserve">InChI=1/C9H14N3O7P/c10-7-1-2-12(9(14)11-7)8-3-5(13)6(19-8)4-18-20(15,16)17/h1-2,5-6,8,13H,3-4H2,(H2,10,11,14)(H2,15,16,17)/p-2/t5-,6+,8+/s2
AuxInfo=1/1/N:19,17,14,16,12,13,20,15,18,11,10,9,3,5,6,7,8,4,2,1/E:(15,16,17)/rA:32POOOOO-O-ONNNC.oC.eCC.eCCCCCHHHHHHHHHHHH/rB:;;s1;;s1;s1;d1;;;;s3;s2s12;s12;s2s9s14;s4s13;s9;d5s9s10;d-17;d+10s11s19;s12;s13;s14;s14;s15;s16;s16;s3;s17;s19;s11;s11;/rC:9.8594,-5.0462,0;6.9933,-1.2507,0;4.0723,-3.9613,0;8.9542,-3.8002,0;3.08,1.1947,0;10.7645,-6.292,0;11.1054,-4.141,0;8.6134,-5.9511,0;5.7473,1.1947,0;4.4137,3.5047,0;5.7473,5.8147,0;4.9773,-2.7153,0;6.5173,-2.7153,0;4.5015,-1.2507,0;5.7473,-.3453,0;7.4226,-3.9613,0;7.0812,1.9647,0;4.4137,1.9647,0;7.0812,3.5047,0;5.7473,4.2747,0;5.4109,-3.5661,0;7.4605,-2.5659,0;4.024,-.4237,0;3.6292,-1.6391,0;6.5981,.0881,0;6.5645,-4.3798,0;7.6856,-4.8791,0;3.1227,-3.8614,0;7.9079,1.4872,0;7.9079,3.982,0;6.5742,6.292,0;4.9205,6.292,0;
</t>
  </si>
  <si>
    <t xml:space="preserve">C00239</t>
  </si>
  <si>
    <t xml:space="preserve">dctp[c]</t>
  </si>
  <si>
    <t xml:space="preserve">dCTP</t>
  </si>
  <si>
    <t xml:space="preserve">C9H12N3O13P3</t>
  </si>
  <si>
    <t xml:space="preserve">InChI=1/C9H16N3O13P3/c10-7-1-2-12(9(14)11-7)8-3-5(13)6(23-8)4-22-27(18,19)25-28(20,21)24-26(15,16)17/h1-2,5-6,8,13H,3-4H2,(H,18,19)(H,20,21)(H2,10,11,14)(H2,15,16,17)/p-3/t5-,6+,8+/s2
AuxInfo=1/1/N:27,25,22,24,20,21,28,23,26,19,18,17,5,8,14,15,16,9,10,12,13,6,4,11,7,3,1,2/E:(15,16,17)(18,19)(20,21)/rA:28PPPOOOOOO-OOO-OO-OONNNC.eC.oCC.oCCCCC/rB:;;;;s1;s1s2;;s1;d1;s2s3;s2;d2;s3;s3;d3;;;;s5;s4s20;s20;s4s17s22;s6s21;s17;d8s17s18;d-25;d+18s19s27;/rC:9.8594,-3.9613,0;12.2961,-5.0462,0;14.733,-6.1311,0;6.9933,-.1658,0;4.0723,-2.8763,0;8.9542,-2.7153,0;10.7645,-5.2071,0;3.08,2.2796,0;11.1054,-3.0559,0;8.6134,-4.8664,0;13.8277,-4.8851,0;12.4572,-6.5778,0;12.1352,-3.5144,0;15.638,-7.3769,0;15.9789,-5.2259,0;13.4869,-7.0362,0;5.7473,2.2796,0;4.4137,4.5896,0;5.7473,6.8996,0;4.9773,-1.6303,0;6.5173,-1.6303,0;4.5015,-.1658,0;5.7473,.7396,0;7.4226,-2.8763,0;7.0812,3.0496,0;4.4137,3.0496,0;7.0812,4.5896,0;5.7473,5.3596,0;
</t>
  </si>
  <si>
    <t xml:space="preserve">C00458</t>
  </si>
  <si>
    <t xml:space="preserve">dcyt[c]</t>
  </si>
  <si>
    <t xml:space="preserve">Deoxycytidine</t>
  </si>
  <si>
    <t xml:space="preserve">C9H13N3O4</t>
  </si>
  <si>
    <t xml:space="preserve">InChI=1/C9H13N3O4/c10-7-1-2-12(9(15)11-7)8-3-5(14)6(4-13)16-8/h1-2,5-6,8,13-14H,3-4H2,(H2,10,11,15)/t5-,6+,8+/s2
AuxInfo=1/1/N:15,13,9,12,8,10,16,11,14,7,6,5,3,2,4,1/rA:29OOOONNNC.eCC.eC.eCCCCCHHHHHHHHHHHHH/rB:;;;;;;s2;s8;s1s8;s1s5s9;s3s10;s5;d4s5s6;d-13;d+6s7s15;s8;s9;s9;s11;s10;s12;s12;s2;s13;s3;s15;s7;s7;/rC:6.9933,-2.1103,0;4.0723,-4.8209,0;8.9542,-4.6599,0;3.08,.3349,0;5.7473,.3349,0;4.4137,2.6449,0;5.7473,4.9551,0;4.9773,-3.575,0;4.5015,-2.1103,0;6.5173,-3.575,0;5.7473,-1.2051,0;7.4226,-4.8209,0;7.0812,1.1049,0;4.4137,1.1049,0;7.0812,2.6449,0;5.7473,3.4149,0;5.4109,-4.4257,0;4.024,-1.2835,0;3.6292,-2.4987,0;6.5981,-.7717,0;7.4605,-3.4255,0;6.5645,-5.2394,0;7.6856,-5.7387,0;3.1227,-4.721,0;7.9079,.6276,0;9.5153,-5.4324,0;7.9079,3.1224,0;6.5742,5.4324,0;4.9205,5.4324,0;
</t>
  </si>
  <si>
    <t xml:space="preserve">C00881</t>
  </si>
  <si>
    <t xml:space="preserve">ddcaACP[c]</t>
  </si>
  <si>
    <t xml:space="preserve">Dodecanoyl-ACP</t>
  </si>
  <si>
    <t xml:space="preserve">C23H43N2O8PRS</t>
  </si>
  <si>
    <t xml:space="preserve">C05223</t>
  </si>
  <si>
    <t xml:space="preserve">ddcalipid4A_AFE[c]</t>
  </si>
  <si>
    <t xml:space="preserve">[dodecanoyl]-Lipid(IV)A-AFE</t>
  </si>
  <si>
    <t xml:space="preserve">C80H150N4O22P2</t>
  </si>
  <si>
    <t xml:space="preserve">dec3ACP[c]</t>
  </si>
  <si>
    <t xml:space="preserve">3-cis-Decenoyl-ACP</t>
  </si>
  <si>
    <t xml:space="preserve">C21H37N2O8PRS</t>
  </si>
  <si>
    <t xml:space="preserve">dgdp[c]</t>
  </si>
  <si>
    <t xml:space="preserve">dGDP</t>
  </si>
  <si>
    <t xml:space="preserve">InChI=1/C10H15N5O10P2/c11-10-13-8-7(9(17)14-10)12-3-15(8)6-1-4(16)5(24-6)2-23-27(21,22)25-26(18,19)20/h3-6,16H,1-2H2,(H,21,22)(H2,18,19,20)(H3,11,13,14,17)/p-3/t4-,5+,6+/s2
AuxInfo=1/1/N:21,22,24,19,20,18,25,23,26,27,17,15,14,16,13,4,9,10,11,12,7,8,5,3,6,2,1/E:(18,19,20)(21,22)/rA:39PPOOOOO-OOO-O-ONNNNNC.eC.oC.eCCCCCCCHHHHHHHHHHHH/rB:;;;s1;s1s2;s1;d1;;s2;s2;d2;;;;;;s3s13;s4;s3s19;s18s19;s5s20;s13s14;s13d-15;s15d-23;d9s16s25;s14d-16s17;s18;s19;s20;s21;s21;s22;s22;s4;s24;s14;s17;s17;/rC:15.2126,3.2603,0;17.8659,3.5343,0;11.3092,.5428,0;9.3746,4.0268,0;13.9651,2.3572,0;16.4601,4.1632,0;16.1157,2.0126,0;14.3095,4.5076,0;6.5744,-5.7137,0;19.2717,2.9057,0;18.4946,4.9403,0;17.237,2.1286,0;9.3653,-1.3944,0;6.5744,-1.0935,0;9.3653,-3.8728,0;5.2407,-3.4037,0;3.9069,-1.0935,0;9.8437,.0696,0;9.848,2.5614,0;11.3118,2.0828,0;8.9406,1.3171,0;12.5593,2.9859,0;7.9079,-1.8635,0;10.2641,-2.6337,0;7.9079,-3.4037,0;6.5744,-4.1737,0;5.2407,-1.8635,0;8.9005,-.0782,0;8.9051,2.7123,0;12.1619,1.6479,0;8.2322,1.957,0;8.2299,.6793,0;13.0945,3.7766,0;11.8737,3.6505,0;10.0149,4.7354,0;11.2189,-2.6337,0;6.5744,-.1387,0;3.08,-1.571,0;3.9069,-.1387,0;
</t>
  </si>
  <si>
    <t xml:space="preserve">C00361</t>
  </si>
  <si>
    <t xml:space="preserve">dgsn[c]</t>
  </si>
  <si>
    <t xml:space="preserve">Deoxyguanosine</t>
  </si>
  <si>
    <t xml:space="preserve">InChI=1/C10H13N5O4/c11-10-13-8-7(9(18)14-10)12-3-15(8)6-1-4(17)5(2-16)19-6/h3-6,16-17H,1-2H2,(H3,11,13,14,18)/p+1/t4-,5+,6+/s2
AuxInfo=1/1/N:11,14,16,12,13,10,17,15,18,19,9,7,6,8,5,3,2,4,1/rA:32OOOONNNN+NC.eCC.eC.eCCCCCCHHHHHHHHHHHHH/rB:;;;;;;;;s1s5;s10;s2s11;s1s12;s3s13;s5s6;s5d-7;s7d-15;d4s8s17;s6d-8s9;s10;s11;s11;s12;s13;s14;s14;s16;s2;s6;s3;s9;s9;/rC:11.3094,1.0321,0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8.2324,2.4465,0;8.2301,1.1685,0;8.9053,3.2017,0;12.1621,2.1371,0;13.0949,4.2659,0;11.8739,4.1397,0;11.219,-2.1444,0;10.015,5.2244,0;6.5746,.3504,0;14.7388,3.4063,0;3.0802,-1.0819,0;3.9069,.3504,0;
</t>
  </si>
  <si>
    <t xml:space="preserve">C00330</t>
  </si>
  <si>
    <t xml:space="preserve">dgtp[c]</t>
  </si>
  <si>
    <t xml:space="preserve">dGTP</t>
  </si>
  <si>
    <t xml:space="preserve">InChI=1/C10H16N5O13P3/c11-10-13-8-7(9(17)14-10)12-3-15(8)6-1-4(16)5(26-6)2-25-30(21,22)28-31(23,24)27-29(18,19)20/h3-6,16H,1-2H2,(H,21,22)(H,23,24)(H2,18,19,20)(H3,11,13,14,17)/p-4/t4-,5+,6+/s2
AuxInfo=1/1/N:25,26,28,22,24,23,29,27,30,31,21,19,18,20,17,5,10,14,15,16,8,9,12,13,6,4,11,7,3,1,2/E:(18,19,20)(21,22)(23,24)/rA:31PPPOOOOO-OOOO-OO-O-ONNNNNC.eC.oC.oCCCCCCC/rB:;;;;s1;s1s2;s1;d1;;s2s3;s2;d2;s3;s3;d3;;;;;;s5;s4s17;s4s22;s22s23;s6s24;s17s18;s17d-19;s19d-27;d10s20s29;s18d-20s21;/rC:15.2126,3.2603,0;17.8659,3.5343,0;20.5191,3.8086,0;11.3092,.5428,0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9.848,2.5614,0;9.8437,.0696,0;11.3118,2.0828,0;8.9406,1.3171,0;12.5593,2.9859,0;7.9079,-1.8635,0;10.2641,-2.6337,0;7.9079,-3.4037,0;6.5744,-4.1737,0;5.2407,-1.8635,0;
</t>
  </si>
  <si>
    <t xml:space="preserve">C00286</t>
  </si>
  <si>
    <t xml:space="preserve">dhap[c]</t>
  </si>
  <si>
    <t xml:space="preserve">Glycerone_phosphate</t>
  </si>
  <si>
    <t xml:space="preserve">C3H5O6P</t>
  </si>
  <si>
    <t xml:space="preserve">InChI=1S/C3H7O6P/c4-1-3(5)2-9-10(6,7)8/h4H,1-2H2,(H2,6,7,8)/p-2
AuxInfo=1/1/N:10,8,9,5,6,3,4,7,2,1/E:(6,7,8)/rA:15POO-O-OOOCCCHHHHH/rB:s1;s1;s1;;;d1;s2;d6s8;s5s9;s8;s8;s10;s10;s5;/rC:5.241,-.4881,0;6.575,.2819,0;3.9073,-1.2583,0;4.471,.8454,0;11.9101,.2819,0;9.2424,1.8221,0;6.011,-1.8221,0;7.9087,-.4881,0;9.2424,.2819,0;10.5763,-.4881,0;7.2949,-1.2195,0;8.5223,-1.2195,0;9.9624,-1.2195,0;11.1901,-1.2195,0;12.737,-.1956,0;
</t>
  </si>
  <si>
    <t xml:space="preserve">C00111</t>
  </si>
  <si>
    <t xml:space="preserve">dhf[c]</t>
  </si>
  <si>
    <t xml:space="preserve">Dihydrofolate</t>
  </si>
  <si>
    <t xml:space="preserve">C19H19N7O6</t>
  </si>
  <si>
    <t xml:space="preserve">InChI=1/C19H21N7O6/c20-19-25-15-14(17(30)26-19)23-11(8-22-15)7-21-10-3-1-9(2-4-10)16(29)24-12(18(31)32)5-6-13(27)28/h1-4,12,21H,5-8H2,(H,24,29)(H,27,28)(H,31,32)(H4,20,22,25,26,30)/p-2/t12-/s2
AuxInfo=1/1/N:28,29,26,27,15,20,18,17,23,22,16,14,32,21,19,24,30,25,31,13,9,7,10,8,11,12,4,6,2,5,1,3/E:(1,2)(3,4)(27,28)(31,32)/rA:51O-OOO-OONNNNNNNC.eCCCCCCCCCCCCCCCCCCHHHHHHHHHHHHHHHHHHH/rB:;;;;;;;;;;;;s8;s14;d-10;s7s16;s9s16;s7s11;s15;s10d-19;s9;;d2s8s23;s1d3s14;d+22;s22;d+23s26;s23d-27;d5s12s21;s11d-12s13;s4d6s20;s14;s15;s15;s17;s17;s18;s18;s7;s20;s20;s8;s9;s26;s27;s11;s28;s29;s13;s13;/rC:24.005,.4534,0;18.6644,1.9727,0;22.6802,-1.8618,0;23.987,5.0734,0;6.5744,-.4,0;21.3198,5.0631,0;9.2848,-5.0734,0;20.0069,-.3321,0;13.3474,-2.6678,0;9.2848,-1.8866,0;6.5744,-5.0202,0;5.2407,-2.71,0;3.9069,-5.0202,0;21.3377,.4431,0;21.3317,1.9831,0;10.6799,-2.6781,0;10.6799,-4.2821,0;12.0107,-1.9029,0;7.9079,-4.2502,0;22.6625,2.7584,0;7.9079,-2.71,0;14.6782,-1.8926,0;17.3395,-.3423,0;18.6702,.4329,0;22.6742,-.3216,0;16.0147,-2.6574,0;14.6722,-.3524,0;17.3454,-1.8823,0;16.0029,.4226,0;6.5744,-1.94,0;5.2407,-4.2502,0;22.6565,4.2984,0;21.3414,-.5118,0;21.0017,2.8791,0;20.392,1.8137,0;11.0019,-5.1811,0;11.6207,-4.1188,0;12.6217,-1.1691,0;11.3943,-1.1738,0;9.2736,-6.0282,0;22.9925,1.8624,0;23.6021,2.9277,0;20.0107,-1.2869,0;13.351,-3.6226,0;16.0184,-3.6122,0;13.8436,.1217,0;6.5744,-5.975,0;18.1742,-2.3565,0;15.9992,1.3774,0;3.08,-4.5427,0;3.9069,-5.975,0;
</t>
  </si>
  <si>
    <t xml:space="preserve">C00415</t>
  </si>
  <si>
    <t xml:space="preserve">dhnpt[c]</t>
  </si>
  <si>
    <t xml:space="preserve">Dihydroneopterin</t>
  </si>
  <si>
    <t xml:space="preserve">C9H13N5O4</t>
  </si>
  <si>
    <t xml:space="preserve">InChI=1/C9H13N5O4/c10-9-13-7-5(8(18)14-9)12-3(1-11-7)6(17)4(16)2-15/h4,6,15-17H,1-2H2,(H4,10,11,13,14,18)/t4-,6+/s2
AuxInfo=1/1/N:13,16,11,12,15,10,14,17,18,9,5,6,7,8,3,2,1,4/rA:18OOOONNNNNC.oCC.oCCCCCC/rB:;;;;;;;;s1;d+6s10;s2s10;s5s11;s5s7;s6d-14;s3s12;d4s8s15;s7d-8s9;/rC:12.0049,2.5924,0;13.3532,-1.2525,0;16.0147,.2979,0;6.5742,2.5551,0;9.2848,-2.1183,0;9.2848,1.0687,0;6.5742,-2.0649,0;5.2407,.2451,0;3.9069,-2.0649,0;12.0107,1.0524,0;10.6799,.2772,0;13.3474,.2875,0;10.6799,-1.3268,0;7.9079,-1.2949,0;7.9079,.2451,0;14.6782,1.0627,0;6.5742,1.0151,0;5.2407,-1.2949,0;
</t>
  </si>
  <si>
    <t xml:space="preserve">C04874</t>
  </si>
  <si>
    <t xml:space="preserve">dhor-S[c]</t>
  </si>
  <si>
    <t xml:space="preserve">S-dihydroorotate</t>
  </si>
  <si>
    <t xml:space="preserve">C5H5N2O4</t>
  </si>
  <si>
    <t xml:space="preserve">InChI=1/C5H6N2O4/c8-3-1-2(4(9)10)6-5(11)7-3/h2H,1H2,(H,9,10)(H2,6,7,8,11)/p-1/t2-/s2
AuxInfo=1/1/N:8,7,9,11,10,5,6,2,1,4,3/E:(9,10)/rA:16O-OOONNC.eCCCCHHHHH/rB:;;;;;s5;s7;d2s6s8;d3s5s6;s1d4s7;s7;s8;s8;s5;s6;/rC:3.9069,-.77,0;7.9081,3.08,0;10.5756,-1.54,0;5.2407,-3.08,0;7.9081,-1.54,0;9.2417,.77,0;6.5744,-.77,0;6.5744,.77,0;7.9081,1.54,0;9.2417,-.77,0;5.2407,-1.54,0;6.5744,-1.7248,0;6.2477,1.6673,0;5.634,.6042,0;7.9081,-2.4948,0;10.0688,1.2475,0;
</t>
  </si>
  <si>
    <t xml:space="preserve">C00337</t>
  </si>
  <si>
    <t xml:space="preserve">dhpmp[c]</t>
  </si>
  <si>
    <t xml:space="preserve">Dihydroneopterin_phosphate</t>
  </si>
  <si>
    <t xml:space="preserve">C9H12N5O7P</t>
  </si>
  <si>
    <t xml:space="preserve">InChI=1/C9H14N5O7P/c10-9-13-7-5(8(17)14-9)12-3(1-11-7)6(16)4(15)2-21-22(18,19)20/h4,6,15-16H,1-2H2,(H2,18,19,20)(H4,10,11,13,14,17)/p-2/t4-,6+/s2
AuxInfo=1/1/N:17,18,16,15,20,14,19,21,22,13,9,10,11,12,3,2,5,6,7,8,4,1/E:(18,19,20)/rA:22POOOOO-O-ONNNNNC.eC.oCCCCCCC/rB:;;s1;;s1;s1;d1;;;;;;s2;s3s14;d+10s14;s9s16;s4s15;s9s11;s10d-19;d5s12s20;s11d-12s13;/rC:17.3454,1.073,0;12.0049,2.5924,0;13.3534,-1.2525,0;16.0147,.2979,0;6.5744,2.5553,0;18.6762,1.848,0;18.1207,-.2578,0;16.5704,2.4037,0;9.2848,-2.1183,0;9.2848,1.0687,0;6.5744,-2.0649,0;5.2407,.2451,0;3.9069,-2.0649,0;12.0107,1.0524,0;13.3474,.2875,0;10.6799,.2772,0;10.6799,-1.3268,0;14.6782,1.0627,0;7.9079,-1.2949,0;7.9079,.2451,0;6.5744,1.0151,0;5.2407,-1.2949,0;
</t>
  </si>
  <si>
    <t xml:space="preserve">C05925</t>
  </si>
  <si>
    <t xml:space="preserve">dhpt[c]</t>
  </si>
  <si>
    <t xml:space="preserve">Dihydropteroate</t>
  </si>
  <si>
    <t xml:space="preserve">C14H13N6O3</t>
  </si>
  <si>
    <t xml:space="preserve">InChI=1S/C14H14N6O3/c15-14-19-11-10(12(21)20-14)18-9(6-17-11)5-16-8-3-1-7(2-4-8)13(22)23/h1-4,16H,5-6H2,(H,22,23)(H4,15,17,19,20,21)/p-1
AuxInfo=1/1/N:20,21,18,19,12,11,22,15,10,14,13,16,23,17,9,6,4,5,7,8,1,2,3/E:(1,2)(3,4)(22,23)/rA:36OO-ONNNNNNCCCCCCCCCCCCCCHHHHHHHHHHHHH/rB:;;;;;;;;d-5;s4s10;s6s10;s4s7;s5d-13;s6;d1s8s14;s7d-8s9;d+15;s15;s18;d-19;d-20s21;s2d3s22;s11;s11;s12;s12;s4;s6;s7;s18;s19;s20;s21;s9;s9;/rC:6.5744,1.6277,0;20.0069,1.6957,0;18.6644,4.0005,0;9.2848,-3.0458,0;9.2848,.1411,0;13.3474,-.6401,0;6.5744,-2.9925,0;5.2407,-.6825,0;3.9069,-2.9925,0;10.6799,-.6503,0;10.6799,-2.2544,0;12.0107,.1247,0;7.9079,-2.2225,0;7.9079,-.6825,0;14.6782,.1351,0;6.5744,.0875,0;5.2407,-2.2225,0;16.0147,-.6296,0;14.6722,1.6751,0;17.3454,.1454,0;16.0029,2.4502,0;17.3395,1.6854,0;18.6702,2.4605,0;11.0019,-3.1534,0;11.6207,-2.091,0;12.6217,.8585,0;11.3943,.854,0;9.2736,-4.0005,0;13.351,-1.5949,0;6.5744,-3.9473,0;16.0184,-1.5846,0;13.8436,2.1493,0;18.1742,-.3287,0;15.9992,3.405,0;3.08,-2.515,0;3.9069,-3.9473,0;
</t>
  </si>
  <si>
    <t xml:space="preserve">C00921</t>
  </si>
  <si>
    <t xml:space="preserve">dhptd[c]</t>
  </si>
  <si>
    <t xml:space="preserve">4,5-Dihydroxy-2,3-pentanedione</t>
  </si>
  <si>
    <t xml:space="preserve">C5H8O4</t>
  </si>
  <si>
    <t xml:space="preserve">InChI=1/C5H8O4/c1-3(7)5(9)4(8)2-6/h4,6,8H,2H2,1H3/t4-/s2
AuxInfo=1/0/N:9,6,8,5,7,2,4,1,3/rA:17OOOOC.eCCCCHHHHHHHH/rB:;;;s1;s2s5;d3s5;d4s7;s8;s5;s6;s6;s9;s9;s9;s1;s2;/rC:6.5744,-1.6863,0;3.9069,-.1463,0;7.9081,2.1638,0;9.2417,-1.6863,0;6.5744,-.1463,0;5.2407,.6237,0;7.9081,.6237,0;9.2417,-.1463,0;10.5756,.6237,0;7.4013,-.6237,0;5.8544,1.355,0;4.6269,1.355,0;11.0529,-.2031,0;11.4023,1.1011,0;10.0981,1.4506,0;5.7475,-2.1638,0;3.08,.3311,0;
</t>
  </si>
  <si>
    <t xml:space="preserve">C11838</t>
  </si>
  <si>
    <t xml:space="preserve">din[c]</t>
  </si>
  <si>
    <t xml:space="preserve">Deoxyinosine</t>
  </si>
  <si>
    <t xml:space="preserve">C10H12N4O4</t>
  </si>
  <si>
    <t xml:space="preserve">InChI=1/C10H12N4O4/c15-2-6-5(16)1-7(18-6)14-4-13-8-9(14)11-3-12-10(8)17/h3-7,15-16H,1-2H2,(H,11,12,17)/t5-,6+,7+/s2
AuxInfo=1/5/N:11,13,18,15,10,12,9,16,14,17,6,8,7,5,3,2,4,1/rA:29OOOONN-NN+C.eC.eCC.eCCCCCCHHHHHHHHHHH/rB:;;;;;;;s1s5;s2;s9s10;s1s10;s3s12;s5s6;s5d-7;s7d-14;d4s8s16;s6d-8;s9;s11;s11;s10;s12;s13;s13;s15;s2;s3;s18;/rC:6.7801,1.1349,0;10.3988,2.8037,0;8.2466,4.9872,0;4.4137,-5.8959,0;7.2048,-1.5766,0;4.4137,-1.2757,0;7.2048,-4.0551,0;3.08,-3.5859,0;7.683,-.1127,0;9.1511,1.9006,0;9.1485,.3606,0;7.6873,2.3793,0;7.2141,3.8446,0;5.7475,-2.0459,0;8.1036,-2.8159,0;5.7475,-3.5859,0;4.4137,-4.3559,0;3.08,-2.0459,0;8.3571,-.789,0;9.3455,-.5736,0;10.0983,.4588,0;9.0035,2.8441,0;6.7446,2.5301,0;6.6276,4.5982,0;6.3702,3.3977,0;9.0584,-2.8159,0;11.2702,2.4138,0;7.9531,5.8959,0;2.2533,-1.5684,0;
</t>
  </si>
  <si>
    <t xml:space="preserve">C05512</t>
  </si>
  <si>
    <t xml:space="preserve">dkmpp[c]</t>
  </si>
  <si>
    <t xml:space="preserve">1-phospho-2,3-diketo-5-S-methylthiopentane</t>
  </si>
  <si>
    <t xml:space="preserve">InChI=1S/C6H11O6PS/c1-14-3-2-5(7)6(8)4-12-13(9,10)11/h2-4H2,1H3,(H2,9,10,11)/p-2
AuxInfo=1/1/N:1,2,3,4,5,6,7,8,9,10,11,12,13,14/E:(9,10,11)/rA:14CCCCCCOOO-O-OOPS/rB:;s2;;s2;s4s5;d5;d6;;;;s4;s9s10d11s12;s1s3;/rC:-1.3337,.77,0;2.6673,0,0;1.3337,.77,0;6.6685,.77,0;4.001,.77,0;5.3347,0,0;4.001,2.31,0;5.3347,-1.54,0;10.6695,1.54,0;10.1058,-.5637,0;8.5658,2.1037,0;8.002,0,0;9.3358,.77,0;;
</t>
  </si>
  <si>
    <t xml:space="preserve">C15650</t>
  </si>
  <si>
    <t xml:space="preserve">dmlz[c]</t>
  </si>
  <si>
    <t xml:space="preserve">6,7-Dimethyl-8-1-D-ribityllumazine</t>
  </si>
  <si>
    <t xml:space="preserve">C13H18N4O6</t>
  </si>
  <si>
    <t xml:space="preserve">InChI=1/C13H18N4O6/c1-5-6(2)17(3-7(19)10(21)8(20)4-18)11-9(14-5)12(22)16-13(23)15-11/h7-8,10,18-21H,3-4H2,1-2H3,(H,16,22,23)/p-1/t7-,8+,10-/s2
AuxInfo=1/5/N:21,20,13,17,18,15,11,14,19,12,16,22,23,8,9,10,7,4,1,3,2,5,6/rA:40OOOOOONNNN-C.oC.eCC.eCCCCCCCCCHHHHHHHHHHHHHHHHH/rB:;;;;;;;;;s1;s2s11;s7s11;s3s12;s7;s7d+9;s4s14;s8d-15;d-8s16;s15;s18;d5s10s19;d6s9s10;s11;s12;s13;s13;s14;s17;s17;s1;s2;s20;s20;s20;s3;s21;s21;s21;s4;/rC:5.2407,.0657,0;7.9081,-3.0143,0;3.9069,-2.2443,0;3.9069,-5.3243,0;10.6006,6.2791,0;13.3446,1.5687,0;7.9081,1.6057,0;7.9081,4.6859,0;10.6185,1.5523,0;12.0139,3.9478,0;6.5744,-.7043,0;6.5744,-2.2443,0;7.9081,.0657,0;5.2407,-3.0143,0;6.5744,2.3759,0;9.2417,2.3759,0;5.2407,-4.5543,0;6.5744,3.9159,0;9.2417,3.9159,0;5.2407,1.6057,0;5.2407,4.6859,0;10.6185,4.7393,0;12.0139,2.3438,0;6.5744,.2505,0;6.5744,-3.1991,0;8.2348,-.8314,0;8.8484,.2317,0;5.2407,-2.0595,0;5.5671,-5.4516,0;6.1809,-4.3885,0;4.4137,-.4116,0;7.9081,-3.9691,0;4.7634,2.4326,0;4.4137,1.1284,0;5.7182,.779,0;3.08,-2.7218,0;5.7182,5.5126,0;4.4137,5.1632,0;4.7634,3.859,0;3.9069,-6.2791,0;
</t>
  </si>
  <si>
    <t xml:space="preserve">C04332</t>
  </si>
  <si>
    <t xml:space="preserve">dmpp[c]</t>
  </si>
  <si>
    <t xml:space="preserve">Dimethylallyl_diphosphate</t>
  </si>
  <si>
    <t xml:space="preserve">C5H9O7P2</t>
  </si>
  <si>
    <t xml:space="preserve">InChI=1S/C5H12O7P2/c1-5(2)3-4-11-14(9,10)12-13(6,7)8/h3H,4H2,1-2H3,(H,9,10)(H2,6,7,8)/p-2
AuxInfo=1/1/N:13,14,12,10,11,7,8,9,5,6,3,4,2,1/E:(1,2)(6,7,8)(9,10)/rA:24PPOOO-OO-OOCCCCCHHHHHHHHHH/rB:;s1;s1s2;s1;d1;s2;s2;d2;s3;;s10d+11;s11;s11;s10;s10;s12;s14;s14;s14;s13;s13;s13;s8;/rC:9.7485,-.4135,0;12.4161,-.4135,0;8.4149,-1.1835,0;11.0824,.3565,0;8.9785,.9203,0;10.5187,-1.7472,0;13.7497,-1.1835,0;13.1861,.9203,0;11.6461,-1.7472,0;7.0812,-.4135,0;4.4137,-.4135,0;5.7475,-1.1835,0;3.08,-1.1835,0;4.4137,1.1265,0;7.695,.3181,0;6.4674,.3181,0;5.7475,-2.1383,0;5.3685,1.1265,0;4.4137,2.0813,0;3.4589,1.1265,0;2.6027,-.3565,0;2.2533,-1.661,0;3.5575,-2.0104,0;12.7086,1.7472,0;
</t>
  </si>
  <si>
    <t xml:space="preserve">C00235</t>
  </si>
  <si>
    <t xml:space="preserve">dnad[c]</t>
  </si>
  <si>
    <t xml:space="preserve">Deamino-NAD</t>
  </si>
  <si>
    <t xml:space="preserve">C21H24N6O15P2</t>
  </si>
  <si>
    <t xml:space="preserve">InChI=1/C21H26N6O15P2/c22-17-12-18(24-7-23-17)27(8-25-12)20-16(31)14(29)11(41-20)6-39-44(36,37)42-43(34,35)38-5-10-13(28)15(30)19(40-10)26-3-1-2-9(4-26)21(32)33/h1-4,7-8,10-11,13-16,19-20,28-31H,5-6H2,(H4-,22,23,24,32,33,34,35,36,37)/p-2/t10-,11-,13-,14-,15-,16-,19-,20-/s2
AuxInfo=1/2/N:40,42,37,36,33,32,43,35,39,30,26,38,28,24,29,25,41,34,31,27,44,23,22,21,20,19,18,7,5,8,6,16,17,13,15,12,14,10,9,4,3,11,2,1/E:(32,33)(34,35)(36,37)/CRV:26+1,32-1/rA:68PPOOOOOOOOOO-O-OOO-ONN+NNNNC.eC.oC.eC.eC.eC.oC.eC.eCCCCCCCCCCCCCHHHHHHHHHHHHHHHHHHHHHHHH/rB:;;;;;;;s1;s2;s1s2;s1;s2;d1;d2;;;;;;;;;s5;s6s24;s3s24;s3s18s25;s7;s8s28;s4s28;s4s19s29;s9s26;s10s30;s18d+21;s18d-20;d+19;s19;s20s34;s36;d-37;s22s23d+38;d-39s40;s21d-22;s16d17s39;s24;s25;s26;s27;s28;s29;s30;s31;s32;s32;s33;s33;s5;s6;s7;s8;s35;s36;s37;s40;s42;s43;s23;s23;/rC:7.773,1.0493,0;8.3321,3.6574,0;6.7801,-4.2687,0;11.455,7.2445,0;10.3986,-2.5997,0;10.3929,-5.9502,0;8.2003,9.5439,0;11.1048,11.214,0;8.2466,-.4163,0;9.3647,4.8001,0;7.2996,2.5148,0;9.2385,1.5226,0;7.1895,4.6898,0;6.3077,.5761,0;9.4748,2.6249,0;18.6616,7.3106,0;16.6762,5.5293,0;7.2046,-6.98,0;13.5908,8.968,0;7.2046,-9.4584,0;4.4137,-6.6791,0;3.08,-8.9893,0;4.4137,-11.2993,0;9.1511,-3.5028,0;9.1485,-5.0428,0;7.6873,-3.0244,0;7.683,-5.5162,0;9.6062,8.9152,0;10.9413,9.6828,0;9.9238,7.4082,0;12.0839,8.6505,0;7.2141,-1.5589,0;8.8913,6.2655,0;5.7473,-7.4491,0;8.1034,-8.2193,0;14.6192,7.8217,0;14.0691,10.4317,0;5.7473,-8.9893,0;16.1261,8.1392,0;15.576,10.7494,0;4.4137,-9.7593,0;16.6046,9.6031,0;3.08,-7.4491,0;17.1547,6.9931,0;9.0033,-2.5596,0;9.9999,-4.6109,0;6.7445,-2.8734,0;8.3571,-6.1925,0;8.8631,8.3154,0;11.8332,10.0234,0;10.2644,6.5163,0;12.6834,7.9074,0;6.6274,-.8055,0;6.3702,-2.0057,0;8.3046,7.0189,0;8.0476,5.8188,0;11.2702,-2.9897,0;11.2659,-5.5632,0;8.1021,10.4937,0;10.3333,11.7766,0;9.0582,-8.2193,0;14.3226,6.9141,0;13.4316,11.1425,0;15.8728,11.6568,0;17.539,9.8,0;2.2533,-6.9718,0;3.5868,-11.7766,0;5.2407,-11.7766,0;
</t>
  </si>
  <si>
    <t xml:space="preserve">C00857</t>
  </si>
  <si>
    <t xml:space="preserve">dpcoa[c]</t>
  </si>
  <si>
    <t xml:space="preserve">Dephospho-CoA</t>
  </si>
  <si>
    <t xml:space="preserve">C21H33N7O13P2S</t>
  </si>
  <si>
    <t xml:space="preserve">InChI=1/C21H35N7O13P2S/c1-21(2,16(32)19(33)24-4-3-12(29)23-5-6-44)8-39-43(36,37)41-42(34,35)38-7-11-14(30)15(31)20(40-11)28-10-27-13-17(22)25-9-26-18(13)28/h9-11,14-16,20,30-32,44H,3-8H2,1-2H3,(H,23,29)(H,24,33)(H,34,35)(H,36,37)(H2,22,25,26)/p-2/t11-,14-,15-,16+,20-/s2
AuxInfo=1/1/N:35,36,41,40,43,44,28,34,39,31,27,42,32,25,24,33,37,29,38,26,30,22,23,20,21,19,18,17,16,6,5,10,13,11,12,14,15,7,8,4,9,2,3,1/E:(1,2)(34,35)(36,37)/rA:77SPPOOOOOOOO-OOO-OONNNNNNNC.oC.eC.eC.eCCCCCC.oCCCCCCCCCCCHHHHHHHHHHHHHHHHHHHHHHHHHHHHHHHHH/rB:;;;;;s2;s3;s2s3;;s2;d2;;s3;d3;;;;;;;;;s5;s6s24;s4s17s24;s4s25;s7s27;s17d+19;;s17d-18;s18s29;s10s30;s8s30;s30;s30;s21s22d+32;d13s20s33;s19d-21;s20;s40;d16s23s41;s23;s1s43;s24;s25;s26;s27;s28;s28;s5;s6;s31;s33;s34;s34;s36;s35;s35;s35;s36;s36;s10;s39;s20;s40;s40;s22;s22;s41;s41;s23;s43;s43;s44;s44;s1;/rC:12.7191,15.7586,0;7.7732,-3.6411,0;8.3321,-1.0328,0;6.7801,-8.9591,0;10.3929,-10.6404,0;10.3986,-7.2899,0;8.2466,-5.1066,0;9.3647,.1098,0;7.2996,-2.1756,0;12.4621,3.5377,0;9.2385,-3.1677,0;6.3077,-4.1145,0;8.977,5.6487,0;7.1897,-.0004,0;9.4748,-2.0653,0;10.0953,10.8651,0;7.2046,-11.6702,0;7.2046,-14.149,0;4.4137,-11.3697,0;11.5153,6.4687,0;3.08,-13.6797,0;4.4137,-15.9895,0;12.6336,11.685,0;9.1485,-9.733,0;9.1511,-8.193,0;7.683,-10.2066,0;7.6873,-7.7147,0;7.2141,-6.2492,0;5.7473,-12.1397,0;9.9238,2.7179,0;8.1034,-12.9097,0;5.7473,-13.6797,0;10.9562,3.8605,0;8.8913,1.5751,0;8.781,3.7503,0;11.0663,1.6854,0;4.4137,-14.4497,0;10.4828,5.326,0;3.08,-12.1397,0;11.0419,7.9343,0;12.0743,9.0769,0;11.601,10.5424,0;12.1602,13.1503,0;13.1925,14.2931,0;8.9975,-10.6758,0;9.0035,-7.2498,0;8.3571,-10.8829,0;6.7445,-7.5637,0;6.6274,-5.4957,0;6.3702,-6.6959,0;11.2659,-10.2536,0;11.2702,-7.6798,0;9.0582,-12.9097,0;11.2497,2.9519,0;8.3046,2.3287,0;8.0476,1.1284,0;10.4263,.977,0;9.4213,4.4589,0;8.0726,4.3904,0;8.1411,3.0419,0;11.7747,1.0453,0;11.7066,2.394,0;13.1021,4.2461,0;2.2533,-11.6622,0;12.449,6.2685,0;10.4554,8.6875,0;10.1982,7.4874,0;3.5868,-16.467,0;5.2407,-16.467,0;12.661,8.3235,0;12.9183,9.5235,0;13.5671,11.4849,0;11.5735,13.9039,0;11.3163,12.7036,0;13.7792,13.5397,0;14.0364,14.7398,0;13.3594,16.467,0;
</t>
  </si>
  <si>
    <t xml:space="preserve">C00882</t>
  </si>
  <si>
    <t xml:space="preserve">dscl[c]</t>
  </si>
  <si>
    <t xml:space="preserve">Precorrin_2</t>
  </si>
  <si>
    <t xml:space="preserve">C42H41N4O16</t>
  </si>
  <si>
    <t xml:space="preserve">InChI=1/C42H48N4O16/c1-41(17-39(59)60)23(5-9-35(51)52)29-14-27-21(11-37(55)56)19(3-7-33(47)48)25(43-27)13-26-20(4-8-34(49)50)22(12-38(57)58)28(44-26)15-31-42(2,18-40(61)62)24(6-10-36(53)54)30(46-31)16-32(41)45-29/h14-16,23-24,43-44,46H,3-13,17-18H2,1-2H3,(H,47,48)(H,49,50)(H,51,52)(H,53,54)(H,55,56)(H,57,58)(H,59,60)(H,61,62)/p-7/b29-14-,30-16-,31-15-/t23-,24-,41+,42+/s2
AuxInfo=1/1/N:35,30,55,54,34,28,58,57,39,37,56,53,48,38,36,31,33,29,51,46,50,44,24,22,47,45,43,41,32,25,26,27,62,61,52,49,60,59,42,40,23,21,20,19,18,17,15,16,13,14,7,8,5,6,11,12,9,10,3,4,1,2/E:(47,48)(49,50)(51,52)(53,54)(55,56)(57,58)(59,60)(61,62)/rA:62O-OO-OO-OO-OO-OO-OO-OO-ONN+NNC.eC.oC.eC.oCCCCCCCCCCCCCCCCCCCCCCCCCCCCCCCCCCCCCC/rB:;;;;;;;;;;;;;;;;;;;;s21;;s23;s17s22;s17s21;d-18s23;s22;s21;s21;d-25s27;s18s24;s23;s24;s23;d-26;s28;d-32;s34;s1d2s29;s19s36;s3d4s33;s20s38;d-41;s19;s44d-45;s20;s45s47;s5d6s37;d-43;d-47s50;s7d8s39;s44;s46;s51;s50;s54;s55;s9d10s53;s11d12s56;s13d14s57;s15d16s58;/rC:14.0334,8.4203,0;15.4015,6.1305,0;3.539,2.1635,0;5.8779,3.4457,0;10.6256,9.8526,0;8.4773,8.2716,0;4.6915,-5.4169,0;3.3576,-3.1069,0;20.5891,2.0673,0;19.5587,-.3929,0;9.6742,-8.3007,0;12.2129,-7.482,0;18.8011,-5.6562,0;20.4068,-3.5263,0;13.3993,-9.8526,0;15.5477,-8.2716,0;11.9868,2.0834,0;9.7229,-.0258,0;14.3509,-.0258,0;12.0383,-2.1347,0;12.7577,4.5507,0;11.2159,4.5507,0;7.3588,.745,0;7.3588,-.7967,0;10.7516,3.0604,0;13.2733,3.1121,0;8.8489,1.1577,0;10.3029,5.791,0;12.7346,6.0904,0;14.215,5.0484,0;9.2617,2.6479,0;8.8489,-1.2092,0;5.819,.7791,0;6.025,-1.5667,0;6.9153,2.2198,0;14.7635,2.6479,0;10.9207,7.2016,0;9.313,-2.6479,0;6.025,-3.1067,0;14.0566,6.8803,0;15.2251,1.2092,0;5.0786,2.1293,0;10.8033,-3.1121,0;16.7179,.7967,0;15.2766,-1.1577,0;16.7179,-.745,0;13.2733,-3.0604,0;14.8152,-2.6479,0;10.0078,8.442,0;11.2674,-4.5507,0;12.8091,-4.5507,0;4.6915,-3.8769,0;17.9433,1.7295,0;17.9474,-1.6722,0;13.7221,-5.791,0;10.2346,-5.693,0;17.7595,-3.2008,0;13.1044,-7.2016,0;19.3637,1.1346,0;10.7072,-7.1585,0;18.989,-4.1278,0;14.0172,-8.442,0;
</t>
  </si>
  <si>
    <t xml:space="preserve">C02463</t>
  </si>
  <si>
    <t xml:space="preserve">dtbt[c]</t>
  </si>
  <si>
    <t xml:space="preserve">Dethiobiotin</t>
  </si>
  <si>
    <t xml:space="preserve">C10H17N2O3</t>
  </si>
  <si>
    <t xml:space="preserve">InChI=1/C10H18N2O3/c1-7-8(12-10(15)11-7)5-3-2-4-6-9(13)14/h7-8H,2-6H2,1H3,(H,13,14)(H2,11,12,15)/p-1
AuxInfo=1/1/N:11,10,9,13,8,14,7,6,15,12,5,4,2,3,1/E:(13,14)/rA:32OO-ONNCCCCCCCCCCHHHHHHHHHHHHHHHHH/rB:;;;;s4;s5s6;s6;s8;s9;s7;d1s4s5;s10;s13;s2d3s14;s6;s7;s8;s8;s9;s9;s4;s5;s10;s10;s11;s11;s11;s13;s13;s14;s14;/rC:3.0802,1.8473,0;13.8561,-4.0998,0;11.2469,-4.6543,0;5.7908,1.4179,0;5.0208,3.7878,0;7.0368,2.3231,0;6.561,3.7878,0;8.5015,1.8473,0;8.8217,.3409,0;10.2863,-.1351,0;7.4661,5.0337,0;4.545,2.3231,0;10.6066,-1.6415,0;12.0712,-2.1174,0;12.3915,-3.6238,0;7.1861,1.38,0;6.1273,4.6385,0;9.4558,1.8807,0;8.6343,2.7927,0;7.8673,.3074,0;8.6888,-.6048,0;5.7908,.4631,0;4.4595,4.5603,0;11.2405,-.1017,0;10.4192,.8103,0;8.2385,4.4725,0;8.0274,5.8063,0;6.6937,5.595,0;9.6523,-1.6748,0;10.4737,-2.587,0;13.0254,-2.0841,0;12.2043,-1.1719,0;
</t>
  </si>
  <si>
    <t xml:space="preserve">C01909</t>
  </si>
  <si>
    <t xml:space="preserve">dtdp4d6dg[c]</t>
  </si>
  <si>
    <t xml:space="preserve">dTDP-4-dehydro-6-deoxy-D-glucose</t>
  </si>
  <si>
    <t xml:space="preserve">C16H22N2O15P2</t>
  </si>
  <si>
    <t xml:space="preserve">InChI=1/C16H24N2O15P2/c1-6-4-18(16(24)17-14(6)23)10-3-8(19)9(31-10)5-29-34(25,26)33-35(27,28)32-15-13(22)12(21)11(20)7(2)30-15/h4,7-10,12-13,15,19,21-22H,3,5H2,1-2H3,(H,25,26)(H,27,28)(H,17,23,24)/p-2
AuxInfo=1/1/N:15,34,4,6,12,11,31,8,7,1,32,29,27,14,26,5,9,2,13,35,33,30,17,10,20,21,24,25,16,28,3,23,19,18,22/E:(25,26)(27,28)/rA:35CNOCCCCCNOCCOCCOOPOO-OPOO-OCCOCOCCOCO/rB:s1;s1;s1;s2;s2;s3;s4s7;s5;d5;d-6;s7;s8;s9s11;s11;s12;d14;s16;s18;s18;d18;s19;s22;s22;d22;s23;s26;s26;s27;s27;s28;s29s31;s29;s31;d32;/rC:1.1685,-4.7443,0;1.1252,-6.2039,0;1.3638,-3.223,0;-.3418,-5.0454,0;.4904,-7.5695,0;2.6635,-6.0418,0;.0028,-2.5611,0;-1.0786,-3.691,0;1.3593,-8.7817,0;-.7358,-8.4377,0;3.5265,-7.2903,0;-.8867,-1.2279,0;-2.6311,-3.7751,0;2.878,-8.6679,0;5.0725,-7.3018,0;.5115,-.5382,0;3.3934,-10.063,0;1.0937,.8953,0;.4844,2.2889,0;2.6285,.8891,0;-.4351,.913,0;-.7035,3.2196,0;-1.9768,4.0962,0;.807,3.5752,0;-1.8949,2.2656,0;-2.0158,5.6437,0;-.6197,6.2961,0;-3.2598,6.5214,0;-.5003,7.8174,0;.9152,5.9879,0;-3.1349,8.0431,0;-1.7422,8.6856,0;.7894,8.6591,0;-4.5978,8.5413,0;-1.059,10.0535,0;
</t>
  </si>
  <si>
    <t xml:space="preserve">C00687</t>
  </si>
  <si>
    <t xml:space="preserve">dtdp4d6dm[c]</t>
  </si>
  <si>
    <t xml:space="preserve">dTDP-4-Dehydro-6-deoxy-L-mannose</t>
  </si>
  <si>
    <t xml:space="preserve">InChI=1/C16H24N2O15P2/c1-6-4-18(16(24)17-14(6)23)10-3-8(19)9(31-10)5-29-34(25,26)33-35(27,28)32-15-13(22)12(21)11(20)7(2)30-15/h4,7-10,12-13,15,19,21-22H,3,5H2,1-2H3,(H,25,26)(H,27,28)(H,17,23,24)/p-2/t7-,8-,9+,10+,12+,13+,15+/s2
AuxInfo=1/1/N:35,33,22,28,24,32,30,20,21,23,31,27,25,34,26,29,19,18,4,12,10,8,16,11,13,14,15,17,5,6,3,7,9,1,2/E:(25,26)(27,28)/rA:57PPOOOOOOOOOOO-OO-OONNC.oC.eCC.eCC.eC.oC.eCCC.oCCCCCHHHHHHHHHHHHHHHHHHHHHH/rB:;;;s1;;s2;;s1s2;;;;s1;d1;s2;;d2;;;s4;s3s20;s20;s3s18s22;s5s21;s8;s6s7s25;s10s25;s18;d11s18s19;s6;d12s27s30;d-28;s30;d16s19s32;s32;s20;s21;s22;s22;s23;s24;s24;s25;s4;s26;s27;s28;s30;s19;s33;s33;s33;s8;s10;s35;s35;s35;/rC:9.2417,-.9817,0;7.9081,-3.2917,0;11.8214,3.7735,0;7.865,3.2977,0;9.2417,.5583,0;7.9081,-6.3717,0;6.5744,-4.0617,0;3.9069,-5.6017,0;9.2417,-2.5217,0;3.9069,-8.6819,0;10.0927,8.0521,0;6.5744,-10.2219,0;10.7819,-.9817,0;7.7017,-.9817,0;7.1381,-1.9579,0;14.9664,10.2219,0;8.6781,-4.6254,0;12.2507,6.4842,0;12.5296,9.137,0;9.3296,3.7735,0;10.5756,2.8685,0;9.8056,5.2382,0;11.3456,5.2382,0;10.5756,1.3283,0;5.2407,-6.3717,0;6.5744,-5.6017,0;5.2407,-7.9117,0;13.7823,6.3231,0;11.6243,7.8911,0;7.9081,-7.9117,0;6.5744,-8.6819,0;14.6877,7.5691,0;9.2417,-8.6819,0;14.061,8.9759,0;16.2191,7.4082,0;8.6544,4.4486,0;11.4262,2.4349,0;9.9053,6.1878,0;8.8715,5.4369,0;10.912,6.0891,0;10.9021,.431,0;11.5158,1.4941,0;5.2407,-5.4171,0;7.1553,3.9366,0;5.7475,-5.1244,0;5.2407,-8.8667,0;14.1706,5.451,0;8.7351,-7.4346,0;12.1412,10.0093,0;8.7644,-9.5088,0;10.0688,-9.1592,0;9.7192,-7.8549,0;3.08,-6.0792,0;3.9069,-9.6369,0;16.1194,6.4587,0;17.1687,7.3084,0;16.319,8.3578,0;
</t>
  </si>
  <si>
    <t xml:space="preserve">C00688</t>
  </si>
  <si>
    <t xml:space="preserve">dtdp[c]</t>
  </si>
  <si>
    <t xml:space="preserve">dTDP</t>
  </si>
  <si>
    <t xml:space="preserve">C10H13N2O11P2</t>
  </si>
  <si>
    <t xml:space="preserve">InChI=1/C10H16N2O11P2/c1-5-3-12(10(15)11-9(5)14)8-2-6(13)7(22-8)4-21-25(19,20)23-24(16,17)18/h3,6-8,13H,2,4H2,1H3,(H,19,20)(H,11,14,15)(H2,16,17,18)/p-2/t6-,7+,8+/s2
AuxInfo=1/1/N:25,18,21,20,23,16,17,19,24,22,15,14,4,9,6,11,12,13,8,10,5,3,7,2,1/E:(16,17,18)(19,20)/rA:25PPOOOOOO-OOO-OONNC.eC.oCC.oCCCCCC/rB:;;;s1;;s1s2;s1;;d1;s2;s2;d2;;;s4;s3s16;s16;s3s14s18;s5s17;s14;d6s14s15;d-21;d9s15s23;s23;/rC:9.8594,-3.8416,0;12.2961,-4.9263,0;6.9933,-.0461,0;4.0723,-2.7567,0;8.9542,-2.5956,0;3.08,2.3992,0;10.7645,-5.0874,0;11.1054,-2.9363,0;5.7473,7.0192,0;8.6134,-4.7466,0;13.8277,-4.7654,0;12.4572,-6.4581,0;12.1352,-3.3947,0;5.7473,2.3992,0;4.4137,4.7092,0;4.9773,-1.5105,0;6.5173,-1.5105,0;4.5015,-.0461,0;5.7473,.8592,0;7.4226,-2.7567,0;7.0812,3.1692,0;4.4137,3.1692,0;7.0812,4.7092,0;5.7473,5.4792,0;8.4147,5.4792,0;
</t>
  </si>
  <si>
    <t xml:space="preserve">C00363</t>
  </si>
  <si>
    <t xml:space="preserve">dtdpglu[c]</t>
  </si>
  <si>
    <t xml:space="preserve">dTDP-Glucose</t>
  </si>
  <si>
    <t xml:space="preserve">C16H24N2O16P2</t>
  </si>
  <si>
    <t xml:space="preserve">InChI=1/C16H26N2O16P2/c1-6-3-18(16(25)17-14(6)24)10-2-7(20)9(31-10)5-30-35(26,27)34-36(28,29)33-15-13(23)12(22)11(21)8(4-19)32-15/h3,7-13,15,19-23H,2,4-5H2,1H3,(H,26,27)(H,28,29)(H,17,24,25)/p-2/t7-,8+,9+,10+,11+,12-,13+,15+/s2
AuxInfo=1/1/N:36,23,32,31,30,34,21,28,22,24,26,25,27,35,29,33,20,19,11,5,8,7,9,18,14,15,17,13,16,10,3,4,6,12,2,1/E:(26,27)(28,29)/rA:36PPOOOOOOOOOOO-OO-OOONNC.eC.oCC.oC.oC.oC.eC.oC.eCCCCCCC/rB:;;;;s1;;;;s2;;s1s2;s1;;s2;d1;d2;;;;s5;s3s21;s21;s3s19s23;s7;s8s25;s9s25;s4s26;s4s6s27;s10s22;s11s28;s19;d14s19s20;d-32;d18s20s34;s34;/rC:9.2417,-1.1243,0;10.5756,1.1857,0;14.65,3.6394,0;6.5744,-2.6643,0;12.2595,6.8279,0;9.2417,-2.6643,0;6.5744,-7.2843,0;3.9069,-5.7443,0;9.2417,-5.7443,0;11.9091,1.9559,0;3.9069,-1.1243,0;9.2417,.4157,0;10.7819,-1.1243,0;16.9331,1.9701,0;9.8056,2.5194,0;7.7017,-1.1243,0;11.3456,-.148,0;21.8068,4.1399,0;17.212,4.6228,0;19.3698,3.0552,0;13.4038,5.7975,0;13.2429,4.2659,0;14.9104,6.1176,0;15.6804,4.7839,0;6.5744,-5.7443,0;5.2407,-4.9743,0;7.9081,-4.9743,0;5.2407,-3.4343,0;7.9081,-3.4343,0;11.9091,3.4959,0;3.9069,-2.6643,0;18.1171,5.8688,0;17.8382,3.2161,0;19.6487,5.7079,0;20.2752,4.301,0;20.5539,6.9537,0;
</t>
  </si>
  <si>
    <t xml:space="preserve">C00842</t>
  </si>
  <si>
    <t xml:space="preserve">dtdprmn[c]</t>
  </si>
  <si>
    <t xml:space="preserve">dTDP-L-Rhamnose</t>
  </si>
  <si>
    <t xml:space="preserve">C16H24N2O15P2</t>
  </si>
  <si>
    <t xml:space="preserve">InChI=1/C16H26N2O15P2/c1-6-4-18(16(24)17-14(6)23)10-3-8(19)9(31-10)5-29-34(25,26)33-35(27,28)32-15-13(22)12(21)11(20)7(2)30-15/h4,7-13,15,19-22H,3,5H2,1-2H3,(H,25,26)(H,27,28)(H,17,23,24)/p-2/t7-,8-,9+,10+,11-,12+,13+,15+/s2
AuxInfo=1/1/N:35,30,22,31,29,33,27,20,21,23,25,24,26,34,28,32,19,18,5,8,7,9,17,12,14,16,13,15,10,4,3,6,11,2,1/E:(25,26)(27,28)/rA:35PPOOOOOOOOOOO-O-OOONNC.eC.oCC.oC.eC.eC.eC.eC.eCCCCCCC/rB:;;;;s1;;;;s2;s1s2;;s1;s2;d1;d2;;;;s5;s3s20;s20;s3s18s22;s7;s8s24;s9s24;s4s25;s4s6s26;s10s21;s27;s18;d12s18s19;d-31;d17s19s33;s33;/rC:7.9081,-3.214,0;9.2417,-.904,0;11.8214,3.8513,0;7.9081,-6.294,0;7.865,3.3755,0;6.5744,-3.984,0;3.9069,-8.6042,0;6.5744,-10.1442,0;3.9069,-5.524,0;9.2417,.636,0;9.2417,-2.444,0;14.4088,4.9941,0;7.1381,-1.8803,0;10.7819,-.904,0;8.6781,-4.5478,0;7.7017,-.904,0;14.9664,10.2995,0;12.2507,6.5619,0;14.6877,7.6468,0;9.3296,3.8513,0;10.5756,2.9462,0;9.8056,5.3161,0;11.3456,5.3161,0;5.2407,-7.8342,0;6.5744,-8.6042,0;5.2407,-6.294,0;7.9081,-7.8342,0;6.5744,-5.524,0;10.5756,1.406,0;9.2417,-8.6042,0;11.6243,7.9688,0;13.7823,6.401,0;12.5296,9.2146,0;14.061,9.0537,0;11.9032,10.6217,0;
</t>
  </si>
  <si>
    <t xml:space="preserve">C03319</t>
  </si>
  <si>
    <t xml:space="preserve">dtmp[c]</t>
  </si>
  <si>
    <t xml:space="preserve">dTMP</t>
  </si>
  <si>
    <t xml:space="preserve">C10H13N2O8P</t>
  </si>
  <si>
    <t xml:space="preserve">InChI=1/C10H15N2O8P/c1-5-3-12(10(15)11-9(5)14)8-2-6(13)7(20-8)4-19-21(16,17)18/h3,6-8,13H,2,4H2,1H3,(H,11,14,15)(H2,16,17,18)/p-2/t6-,7+,8+/s2
AuxInfo=1/1/N:21,14,17,16,19,12,13,15,20,18,11,10,3,6,5,7,8,9,4,2,1/E:(16,17,18)/rA:34POOOOOO-O-ONNC.oC.eCC.eCCCCCCHHHHHHHHHHHHH/rB:;;s1;;;s1;s1;d1;;;s3;s2s12;s12;s2s10s14;s4s13;s10;d5s10s11;d-17;d6s11s19;s19;s12;s13;s15;s14;s14;s16;s16;s3;s17;s11;s21;s21;s21;/rC:9.8594,-4.8074,0;6.9933,-1.0119,0;4.0723,-3.7225,0;8.9542,-3.5614,0;3.08,1.4332,0;5.7473,6.0532,0;10.7645,-6.0532,0;11.1054,-3.9023,0;8.6134,-5.7126,0;5.7473,1.4332,0;4.4137,3.7432,0;4.9773,-2.4767,0;6.5173,-2.4767,0;4.5015,-1.0119,0;5.7473,-.1068,0;7.4226,-3.7225,0;7.0812,2.2032,0;4.4137,2.2032,0;7.0812,3.7432,0;5.7473,4.5132,0;8.4147,4.5132,0;5.4109,-3.3273,0;7.4605,-2.3272,0;6.5981,.3269,0;4.024,-.1852,0;3.6292,-1.4004,0;6.5645,-4.141,0;7.6856,-4.6403,0;3.1227,-3.6226,0;7.9079,1.7259,0;3.5868,4.2207,0;8.8922,3.6865,0;9.2417,4.9907,0;7.9374,5.3402,0;
</t>
  </si>
  <si>
    <t xml:space="preserve">C00364</t>
  </si>
  <si>
    <t xml:space="preserve">dtpcudcpdp[c]</t>
  </si>
  <si>
    <t xml:space="preserve">di-trans,poly-cis-Undecaprenyl_diphosphate</t>
  </si>
  <si>
    <t xml:space="preserve">C55H90O7P2</t>
  </si>
  <si>
    <t xml:space="preserve">InChI=1S/C55H92O7P2/c1-45(2)23-13-24-46(3)25-14-26-47(4)27-15-28-48(5)29-16-30-49(6)31-17-32-50(7)33-18-34-51(8)35-19-36-52(9)37-20-38-53(10)39-21-40-54(11)41-22-42-55(12)43-44-61-64(59,60)62-63(56,57)58/h23,25,27,29,31,33,35,37,39,41,43H,13-22,24,26,28,30,32,34,36,38,40,42,44H2,1-12H3,(H,59,60)(H2,56,57,58)/p-2/b46-25+,47-27+,48-29+,49-31+,50-33+,51-35+,52-37+,53-39+,54-41+,55-43+
AuxInfo=1/1/N:13,14,19,24,29,34,39,44,49,54,59,64,11,17,22,27,32,37,42,47,52,57,10,15,16,20,21,25,26,30,31,35,36,40,41,45,46,50,51,55,56,60,61,62,12,18,23,28,33,38,43,48,53,58,63,6,7,8,3,4,9,2,5,1/E:(1,2)(56,57,58)(59,60)/rA:64POO-OPO-OOOCCCCCCCCCCCCCCCCCCCCCCCCCCCCCCCCCCCCCCCCCCCCCCCCCCCCCCC/rB:s1;s1;d1;s2;s5;s5;d5;s1;;s10;d-10;s12;s12;s11;;s16;s15d+16;s18;s17;;s21;s20d+21;s23;s22;;s26;s25d+26;s28;s27;;s31;s30d+31;s33;s32;;s36;s35d+36;s38;s37;;s41;s40d+41;s43;s42;;s46;s45d+46;s48;s47;;s51;s50d+51;s53;s52;;s56;s55d+56;s58;s57;;s9s61;s60d+61;s63;/rC:29.3757,2.9055,0;30.4076,1.8377,0;29.9466,4.3269,0;28.6838,1.5441,0;30.5781,.3199,0;32.1505,.3325,0;29.1672,-.3683,0;30.8515,-1.1952,0;27.9653,3.3249,0;-27.7685,-1.685,0;-26.2207,-1.6421,0;-28.9979,-2.6251,0;-28.9257,-4.1838,0;-30.2421,-1.6841,0;-24.7184,-1.277,0;-22.2322,-1.1443,0;-20.7161,-.8829,0;-23.4263,-2.1189,0;-23.2663,-3.6484,0;-19.1828,-.7058,0;-17.15,-.3926,0;-15.6134,-.3702,0;-17.9937,-1.6822,0;-18.01,-3.2346,0;-14.0646,-.2337,0;-12.003,.0373,0;-10.4858,-.2268,0;-12.8662,-1.2398,0;-12.8751,-2.8091,0;-9.0022,.1421,0;-6.5042,.2897,0;-5.0012,.6072,0;-7.7043,-.6873,0;-7.5467,-2.2135,0;-3.4576,.6963,0;-1.4588,.9802,0;.0398,.6709,0;-2.2835,-.3125,0;-2.3443,-1.8704,0;1.512,1.0814,0;3.9344,1.2324,0;5.4673,1.2589,0;2.7696,.2143,0;2.8702,-1.3207,0;6.9322,1.6944,0;9.1239,1.9494,0;10.6538,2.1065,0;8.1571,.7562,0;8.1618,-.7963,0;12.1975,2.1762,0;14.2417,2.4067,0;15.7573,2.1526,0;13.3691,1.1415,0;13.337,-.4282,0;17.2256,2.5321,0;19.7301,2.615,0;21.2559,2.8181,0;18.5069,1.6666,0;18.6687,.1402,0;22.7735,3.0361,0;25.046,3.2157,0;26.5151,2.9211,0;24.0046,2.1198,0;23.9799,.5852,0;
</t>
  </si>
  <si>
    <t xml:space="preserve">C04574</t>
  </si>
  <si>
    <t xml:space="preserve">dttp[c]</t>
  </si>
  <si>
    <t xml:space="preserve">dTTP</t>
  </si>
  <si>
    <t xml:space="preserve">C10H14N2O14P3</t>
  </si>
  <si>
    <t xml:space="preserve">InChI=1/C10H17N2O14P3/c1-5-3-12(10(15)11-9(5)14)8-2-6(13)7(24-8)4-23-28(19,20)26-29(21,22)25-27(16,17)18/h3,6-8,13H,2,4H2,1H3,(H,19,20)(H,21,22)(H,11,14,15)(H2,16,17,18)/p-3/t6-,7+,8+/s2
AuxInfo=1/1/N:29,22,25,24,27,20,21,23,28,26,19,18,5,11,7,15,16,17,9,10,13,14,6,4,12,8,3,1,2/E:(16,17,18)(19,20)(21,22)/rA:29PPPOOOOOO-OOOO-OO-OONNC.eC.oCC.oCCCCCC/rB:;;;;s1;;s1s2;s1;d1;;s2s3;s2;d2;s3;s3;d3;;;s5;s4s20;s20;s4s18s22;s6s21;s18;d7s18s19;d-25;d11s19s27;s27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7.0812,3.2881,0;4.4137,3.2881,0;7.0812,4.8283,0;5.7473,5.5983,0;8.4147,5.5983,0;
</t>
  </si>
  <si>
    <t xml:space="preserve">C00459</t>
  </si>
  <si>
    <t xml:space="preserve">dudp[c]</t>
  </si>
  <si>
    <t xml:space="preserve">dUDP</t>
  </si>
  <si>
    <t xml:space="preserve">C9H12N2O11P2</t>
  </si>
  <si>
    <t xml:space="preserve">InChI=1/C9H14N2O11P2/c12-5-3-8(11-2-1-7(13)10-9(11)14)21-6(5)4-20-24(18,19)22-23(15,16)17/h1-2,5-6,8,12H,3-4H2,(H,18,19)(H,10,13,14)(H2,15,16,17)/p-2/t5-,6+,8+/s2
AuxInfo=1/1/N:23,22,18,20,16,17,24,19,21,15,14,4,10,6,11,12,13,8,9,5,3,7,2,1/E:(15,16,17)(18,19)/rA:36PPOOOOOO-OOO-OONNC.oC.eCC.eCCCCCHHHHHHHHHHHH/rB:;;;s1;;s1s2;s1;d1;;s2;s2;d2;;;s4;s3s16;s16;s3s14s18;s5s17;d6s14s15;s14;d-22;d10s15s23;s16;s17;s18;s18;s19;s20;s20;s4;s22;s15;s23;s12;/rC:9.8594,-3.8416,0;12.2961,-4.9263,0;6.9933,-.0461,0;4.0723,-2.7567,0;8.9542,-2.5956,0;3.08,2.3992,0;10.7645,-5.0874,0;11.1054,-2.9363,0;8.6134,-4.7466,0;5.7473,7.0192,0;13.8277,-4.7654,0;12.4572,-6.4581,0;12.1352,-3.3947,0;5.7473,2.3992,0;4.4137,4.7092,0;4.9773,-1.5105,0;6.5173,-1.5105,0;4.5015,-.0461,0;5.7473,.8592,0;7.4226,-2.7567,0;4.4137,3.1692,0;7.0812,3.1692,0;7.0812,4.7092,0;5.7473,5.4792,0;5.4109,-2.3615,0;7.4605,-1.3614,0;4.024,.7808,0;3.6292,-.4344,0;6.5981,1.2927,0;6.5645,-3.1752,0;7.6856,-3.6743,0;3.1227,-2.6568,0;7.9079,2.6917,0;3.5868,5.1865,0;7.9079,5.1865,0;11.6846,-7.0192,0;
</t>
  </si>
  <si>
    <t xml:space="preserve">C01346</t>
  </si>
  <si>
    <t xml:space="preserve">dump[c]</t>
  </si>
  <si>
    <t xml:space="preserve">dUMP</t>
  </si>
  <si>
    <t xml:space="preserve">C9H11N2O8P</t>
  </si>
  <si>
    <t xml:space="preserve">InChI=1/C9H13N2O8P/c12-5-3-8(11-2-1-7(13)10-9(11)14)19-6(5)4-18-20(15,16)17/h1-2,5-6,8,12H,3-4H2,(H,10,13,14)(H2,15,16,17)/p-2/t5-,6+,8+/s2
AuxInfo=1/1/N:19,18,14,16,12,13,20,15,17,11,10,3,9,5,6,7,8,4,2,1/E:(15,16,17)/rA:31POOOOO-O-OONNC.oC.eCC.eCCCCCHHHHHHHHHHH/rB:;;s1;;s1;s1;d1;;;;s3;s2s12;s12;s2s10s14;s4s13;d5s10s11;s10;d-18;d9s11s19;s12;s13;s14;s14;s15;s16;s16;s3;s18;s11;s19;/rC:9.8594,-4.8074,0;6.9933,-1.0119,0;4.0723,-3.7225,0;8.9542,-3.5614,0;3.08,1.4332,0;10.7645,-6.0532,0;11.1054,-3.9023,0;8.6134,-5.7126,0;5.7473,6.0532,0;5.7473,1.4332,0;4.4137,3.7432,0;4.9773,-2.4767,0;6.5173,-2.4767,0;4.5015,-1.0119,0;5.7473,-.1068,0;7.4226,-3.7225,0;4.4137,2.2032,0;7.0812,2.2032,0;7.0812,3.7432,0;5.7473,4.5132,0;5.4109,-3.3273,0;7.4605,-2.3272,0;4.024,-.1852,0;3.6292,-1.4004,0;6.5981,.3269,0;6.5645,-4.141,0;7.6856,-4.6403,0;3.1227,-3.6226,0;7.9079,1.7259,0;3.5868,4.2207,0;7.9079,4.2207,0;
</t>
  </si>
  <si>
    <t xml:space="preserve">C00365</t>
  </si>
  <si>
    <t xml:space="preserve">duri[c]</t>
  </si>
  <si>
    <t xml:space="preserve">Deoxyuridine</t>
  </si>
  <si>
    <t xml:space="preserve">C9H12N2O5</t>
  </si>
  <si>
    <t xml:space="preserve">InChI=1/C9H12N2O5/c12-4-6-5(13)3-8(16-6)11-2-1-7(14)10-9(11)15/h1-2,5-6,8,12-13H,3-4H2,(H,10,14,15)/t5-,6+,8+/s2
AuxInfo=1/1/N:15,14,9,12,8,11,16,10,13,7,6,3,2,5,4,1/rA:28OOOOONNC.eCC.eC.eCCCCCHHHHHHHHHHHH/rB:;;;;;;s2;s8;s1s6s9;s1s8;s3s11;d4s6s7;s6;d-14;d5s7s15;s8;s10;s9;s9;s11;s12;s12;s2;s14;s7;s15;s3;/rC:6.9933,-1.8715,0;4.0723,-4.5821,0;8.9542,-4.4212,0;3.08,.5736,0;5.7473,5.1936,0;5.7473,.5736,0;4.4137,2.8836,0;4.9773,-3.3363,0;4.5015,-1.8715,0;5.7473,-.9664,0;6.5173,-3.3363,0;7.4226,-4.5821,0;4.4137,1.3436,0;7.0812,1.3436,0;7.0812,2.8836,0;5.7473,3.6536,0;5.4109,-4.1869,0;6.5981,-.5329,0;4.024,-1.0448,0;3.6292,-2.26,0;7.4605,-3.187,0;6.5645,-5.0008,0;7.6856,-5.4999,0;3.1227,-4.4824,0;7.9079,.8663,0;3.5868,3.3611,0;7.9079,3.3611,0;9.5153,-5.1936,0;
</t>
  </si>
  <si>
    <t xml:space="preserve">C00526</t>
  </si>
  <si>
    <t xml:space="preserve">dutp[c]</t>
  </si>
  <si>
    <t xml:space="preserve">dUTP</t>
  </si>
  <si>
    <t xml:space="preserve">C9H11N2O14P3</t>
  </si>
  <si>
    <t xml:space="preserve">InChI=1/C9H15N2O14P3/c12-5-3-8(11-2-1-7(13)10-9(11)14)23-6(5)4-22-27(18,19)25-28(20,21)24-26(15,16)17/h1-2,5-6,8,12H,3-4H2,(H,18,19)(H,20,21)(H,10,13,14)(H2,15,16,17)/p-3/t5-,6+,8+/s2
AuxInfo=1/1/N:27,26,22,24,20,21,28,23,25,19,18,5,11,7,15,16,17,9,10,13,14,6,4,12,8,3,1,2/E:(15,16,17)(18,19)(20,21)/rA:40PPPOOOOOO-OOOO-OO-OONNC.oC.eCC.eCCCCCHHHHHHHHHHHH/rB:;;;;s1;;s1s2;s1;d1;;s2s3;s2;d2;s3;s3;d3;;;s5;s4s20;s20;s4s18s22;s6s21;d7s18s19;s18;d-26;d11s19s27;s20;s21;s22;s22;s23;s24;s24;s5;s26;s19;s27;s16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4.4137,3.2881,0;7.0812,3.2881,0;7.0812,4.8283,0;5.7473,5.5983,0;5.4109,-2.2424,0;7.4605,-1.2423,0;4.024,.8997,0;3.6292,-.3155,0;6.5981,1.4116,0;6.5645,-3.0561,0;7.6856,-3.5554,0;3.1227,-2.5377,0;7.9079,2.8108,0;3.5868,5.3056,0;7.9079,5.3056,0;15.879,-4.0376,0;
</t>
  </si>
  <si>
    <t xml:space="preserve">C00460</t>
  </si>
  <si>
    <t xml:space="preserve">dxyl5p[c]</t>
  </si>
  <si>
    <t xml:space="preserve">1-Deoxy-D-xylulose_5-phosphate</t>
  </si>
  <si>
    <t xml:space="preserve">C5H9O7P</t>
  </si>
  <si>
    <t xml:space="preserve">InChI=1/C5H11O7P/c1-3(6)5(8)4(7)2-12-13(9,10)11/h4-5,7-8H,2H2,1H3,(H2,9,10,11)/p-2/t4-,5-/s2
AuxInfo=1/1/N:13,11,12,9,10,5,3,4,6,7,8,2,1/E:(9,10,11)/rA:22POOOOO-O-OC.eC.eCCCHHHHHHHHH/rB:s1;;;;s1;s1;d1;s3;s4s9;s2s9;d5s10;s12;s9;s10;s11;s11;s3;s13;s13;s13;s4;/rC:5.2407,-.3851,0;6.5744,.3851,0;9.2417,1.9251,0;10.5756,-1.9251,0;11.9091,1.9251,0;3.9069,-1.1551,0;4.4707,.9486,0;6.0107,-1.7186,0;9.2417,.3851,0;10.5756,-.3851,0;7.9081,-.3851,0;11.9091,.3851,0;13.2429,-.3851,0;10.0688,.8624,0;9.7485,-.8624,0;7.2944,-1.1165,0;8.5217,-1.1165,0;10.0688,2.4024,0;12.7656,-1.2118,0;14.0698,-.8624,0;13.7204,.4418,0;11.4023,-2.4024,0;
</t>
  </si>
  <si>
    <t xml:space="preserve">C11437</t>
  </si>
  <si>
    <t xml:space="preserve">e4p[c]</t>
  </si>
  <si>
    <t xml:space="preserve">D-Erythrose_4-phosphate</t>
  </si>
  <si>
    <t xml:space="preserve">C4H7O7P</t>
  </si>
  <si>
    <t xml:space="preserve">InChI=1/C4H9O7P/c5-1-3(6)4(7)2-11-12(8,9)10/h1,3-4,6-7H,2H2,(H2,8,9,10)/p-2/t3-,4+/s2
AuxInfo=1/1/N:12,10,11,9,8,4,3,5,6,7,2,1/E:(8,9,10)/rA:12POOOO-O-OOC.eCC.eC/rB:s1;;;s1;s1;d1;;s3;s2s9;s4s9;d8s11;/rC:5.2407,-.3851,0;6.5744,.3851,0;9.2417,1.9251,0;10.5756,-1.9251,0;3.9069,-1.1551,0;4.4707,.9486,0;6.0107,-1.7186,0;13.2429,-.3851,0;9.2417,.3851,0;7.9081,-.3851,0;10.5756,-.3851,0;11.9091,.3851,0;
</t>
  </si>
  <si>
    <t xml:space="preserve">C00279</t>
  </si>
  <si>
    <t xml:space="preserve">eig3p[c]</t>
  </si>
  <si>
    <t xml:space="preserve">D-erythro-1-imidazol-4-ylglycerol_3-phosphate</t>
  </si>
  <si>
    <t xml:space="preserve">C6H9N2O6P</t>
  </si>
  <si>
    <t xml:space="preserve">InChI=1/C6H11N2O6P/c9-5(2-14-15(11,12)13)6(10)4-1-7-3-8-4/h1,3,5-6,9-10H,2H2,(H,7,8)(H2,11,12,13)/p-2/t5-,6+/s2
AuxInfo=1/1/N:14,12,15,13,10,11,9,8,2,3,5,6,7,4,1/E:(11,12,13)/rA:24POOOO-O-ONNC.eC.oCCCCHHHHHHHHH/rB:;;s1;s1;s1;d1;;;s2;s3s10;s4s10;s8s11;s9d-13;s8d-9;s10;s11;s12;s12;s8;s14;s2;s3;s15;/rC:12.2552,.3683,0;7.8611,1.7959,0;7.3569,-2.2475,0;10.7905,.8441,0;13.72,-.1077,0;12.731,1.8329,0;11.7794,-1.0965,0;4.326,-1.1704,0;3.556,1.1995,0;8.1812,.2895,0;7.0368,-.7409,0;9.646,-.1863,0;5.572,-.2651,0;5.0962,1.1995,0;3.0802,-.2651,0;7.2733,.5846,0;6.3271,-1.3798,0;9.1976,-1.0295,0;10.3985,-.7741,0;4.326,-2.1252,0;5.6573,1.9721,0;8.5708,2.4349,0;8.2652,-2.5426,0;2.1721,-.5602,0;
</t>
  </si>
  <si>
    <t xml:space="preserve">C04666</t>
  </si>
  <si>
    <t xml:space="preserve">eps_AFE[c]</t>
  </si>
  <si>
    <t xml:space="preserve">EPS-AFE</t>
  </si>
  <si>
    <t xml:space="preserve">eps_AFE[e]</t>
  </si>
  <si>
    <t xml:space="preserve">eps_AFE[p]</t>
  </si>
  <si>
    <t xml:space="preserve">etpcycAox[p]</t>
  </si>
  <si>
    <t xml:space="preserve">ETP_cycA_2</t>
  </si>
  <si>
    <t xml:space="preserve">etpcycArd[p]</t>
  </si>
  <si>
    <t xml:space="preserve">ETP_cycA_2_red</t>
  </si>
  <si>
    <t xml:space="preserve">f6p-B[c]</t>
  </si>
  <si>
    <t xml:space="preserve">beta-D-Fructose_6-phosphate</t>
  </si>
  <si>
    <t xml:space="preserve">C6H11O9P</t>
  </si>
  <si>
    <t xml:space="preserve">InChI=1S/C6H13O9P/c7-2-6(10)5(9)4(8)3(15-6)1-14-16(11,12)13/h3-5,7-10H,1-2H2,(H2,11,12,13)/p-2/t3-,4-,5+,6-/m1/s1
AuxInfo=1/1/N:7,2,6,13,15,3,1,14,16,4,10,11,12,8,5,9/E:(11,12,13)/it:im/rA:16OCC.eOOC.eCOPO-O-OC.oOC.eO/rB:s1;s2;s3;s3;s5;s6;s7;s8;s9;s9;d9;s6;s13;s3s13;s15;/rC:3.5967,2.9043,0;2.0903,3.2245,0;1.0599,2.08,0;.0293,3.2245,0;2.3057,1.1749,0;1.8299,-.2899,0;2.735,-1.5357,0;2.1086,-2.9426,0;3.0137,-4.1884,0;3.9191,-5.4342,0;1.7679,-5.0936,0;4.2597,-3.2833,0;.2899,-.2899,0;-.6154,-1.5357,0;-.1861,1.1749,0;-1.6507,1.6507,0;
</t>
  </si>
  <si>
    <t xml:space="preserve">C05345</t>
  </si>
  <si>
    <t xml:space="preserve">fad[c]</t>
  </si>
  <si>
    <t xml:space="preserve">FAD</t>
  </si>
  <si>
    <t xml:space="preserve">C27H31N9O15P2</t>
  </si>
  <si>
    <t xml:space="preserve">InChI=1/C27H33N9O15P2/c1-10-3-12-13(4-11(10)2)35(24-18(32-12)25(42)34-27(43)33-24)5-14(37)19(39)15(38)6-48-52(44,45)51-53(46,47)49-7-16-20(40)21(41)26(50-16)36-9-31-17-22(28)29-8-30-23(17)36/h3-4,8-9,14-16,19-21,26,37-41H,5-7H2,1-2H3,(H5,28,29,30,34,42,43,44,45,46,47)/p-3/t14-,15+,16+,19-,20+,21+,26+/s2
AuxInfo=1/6/N:52,51,48,45,37,41,31,43,33,49,47,44,40,35,38,30,34,46,36,28,27,39,32,42,50,29,53,23,22,20,19,24,25,26,21,18,8,12,9,5,4,16,17,14,15,11,13,10,6,3,7,2,1/E:(44,45)(46,47)/rA:53PPOOOOOOOOO-OOO-OOONNNNNNNNN-C.eC.oC.oC.oCCCCC.eC.oCC.oCCCCCCCCCCCCCCC/rB:;;;;s1;s1s2;;;s2;s1;;d1;s2;d2;;;;;;;;;;;;s4;s5s27;s3s18s27;s3s28;s6s30;s18d+20;s18d-19;s19s32;s8;s9s35;s21s35;s12s36;s22s23d+34;s21;s10s38;s21d+25;s20d-22;s24d-40;s40;d-24s42;d-45;s44;s47d-48;d16s26s46;s47;s49;d17s25s26;/rC:15.5723,4.1713,0;16.906,1.8611,0;11.4979,6.6248,0;10.6111,10.5099,0;13.8884,9.8134,0;14.2386,4.9413,0;16.906,3.4011,0;18.2398,-5.0689,0;20.907,-1.9889,0;16.906,.3211,0;16.3423,5.5048,0;16.906,-2.7589,0;14.8023,2.8375,0;15.3658,1.8611,0;18.446,1.8611,0;23.5997,-11.2823,0;26.3435,-6.5718,0;8.9359,7.6083,0;6.6733,6.5962,0;8.0709,10.2788,0;20.907,-6.6089,0;5.4176,10.553,0;3.8535,8.3923,0;20.907,-9.6891,0;23.6176,-6.5555,0;25.0128,-8.951,0;11.2375,9.1032,0;12.7439,8.7829,0;10.4675,7.7693,0;12.905,7.2513,0;14.2386,6.4813,0;7.9124,8.7468,0;8.1717,6.2819,0;6.5068,8.1181,0;19.5735,-4.2989,0;19.5735,-2.7589,0;20.907,-5.0689,0;18.2398,-1.9889,0;5.2593,9.0212,0;19.5735,-7.3791,0;18.2398,-.4489,0;22.2408,-7.3791,0;6.8234,11.1819,0;19.5735,-8.9191,0;18.1966,-6.5555,0;22.2408,-8.9191,0;16.8013,-7.347,0;18.1966,-9.7425,0;16.8013,-8.951,0;23.6176,-9.7425,0;15.4706,-6.5718,0;15.4706,-9.7263,0;25.0128,-7.347,0;
</t>
  </si>
  <si>
    <t xml:space="preserve">C00016</t>
  </si>
  <si>
    <t xml:space="preserve">fadh2[c]</t>
  </si>
  <si>
    <t xml:space="preserve">FADH2</t>
  </si>
  <si>
    <t xml:space="preserve">C27H33N9O15P2</t>
  </si>
  <si>
    <t xml:space="preserve">InChI=1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?,15?,16-,19?,20-,21-,26-/s2
AuxInfo=1/1/N:53,52,46,45,36,44,31,49,33,48,47,41,38,35,39,30,34,43,37,28,27,42,32,40,50,29,51,26,24,21,20,22,23,25,19,18,7,11,9,5,4,15,17,14,16,12,13,10,6,3,8,2,1/E:(44,45)(46,47)/rA:86PPOOOOOOOOOO-OO-OOONNNNNNNNNC.oC.eC.eC.eCCCCCCCCCCCCCCCCCCCCCCCHHHHHHHHHHHHHHHHHHHHHHHHHHHHHHHHH/rB:;;;;s1;;s1s2;;s2;;s1;d1;s2;;d2;;;;;;;;;;;s4;s5s27;s3s18s27;s3s28;s6s30;s18d+21;s18d-20;s20s32;s7;s19s35;s9s35;s19;s11s37;s19s23;s22d-38;s24s26d+34;s22d-40;s10s39;s38;s41;d-45;d-46s47;s21d-24;d15s25s43;d17s23s25;s47;s48;s27;s28;s29;s30;s31;s31;s4;s5;s33;s35;s36;s36;s37;s39;s44;s44;s22;s45;s46;s23;s49;s7;s9;s11;s25;s26;s26;s52;s52;s52;s53;s53;s53;/rC:12.3504,2.2727,0;13.684,-.0373,0;9.5221,6.8843,0;5.7141,5.7098,0;7.9559,3.22,0;11.0165,3.0427,0;15.0177,-6.9673,0;13.684,1.5027,0;17.6852,-3.8873,0;13.684,-1.5773,0;13.684,-4.6573,0;13.1204,3.6064,0;11.5804,.9389,0;12.144,-.0373,0;20.3777,-13.1805,0;15.224,-.0373,0;23.1215,-8.4702,0;7.3892,8.6113,0;17.6852,-8.5073,0;7.1346,11.0768,0;4.6441,8.0252,0;17.6852,-11.5873,0;20.3954,-8.4539,0;3.08,10.1858,0;21.7907,-10.8494,0;4.169,12.6207,0;7.2457,5.8709,0;8.2761,4.7262,0;8.0157,7.2044,0;9.683,5.3527,0;11.0165,4.5827,0;5.8916,8.9283,0;8.1558,9.9365,0;5.7333,10.4602,0;16.3514,-6.1973,0;17.6852,-6.9673,0;16.3514,-4.6573,0;16.3514,-9.2773,0;15.0177,-3.8873,0;19.0187,-9.2773,0;16.3514,-10.8173,0;4.3275,11.0889,0;19.0187,-10.8173,0;15.0177,-2.3475,0;14.9748,-8.4539,0;14.9748,-11.6407,0;13.5794,-9.2452,0;13.5794,-10.8494,0;3.2383,8.6541,0;20.3954,-11.6407,0;21.7907,-9.2452,0;12.2485,-8.4702,0;12.2485,-11.6245,0;6.9035,4.9793,0;9.0181,4.1253,0;7.0622,7.2544,0;10.4838,5.8727,0;11.9569,4.4169,0;11.3432,5.48,0;5.3256,4.8375,0;7.0478,2.9249,0;9.1056,10.0345,0;15.2176,-5.5427,0;18.6254,-7.1331,0;18.0117,-6.07,0;17.4851,-5.3118,0;15.0177,-5.1962,0;15.9579,-2.5131,0;15.3444,-1.45,0;17.6852,-12.5421,0;14.9858,-7.4991,0;14.9858,-12.5955,0;20.3844,-7.4991,0;2.4649,8.0941,0;14.1908,-6.4898,0;17.6852,-2.9325,0;12.8572,-4.1798,0;22.6158,-11.3299,0;3.2977,13.0105,0;4.9426,13.1805,0;12.7292,-7.6451,0;11.4236,-7.9895,0;11.768,-9.2951,0;11.768,-10.7996,0;11.4236,-12.1051,0;12.7292,-12.4495,0;
</t>
  </si>
  <si>
    <t xml:space="preserve">C01352</t>
  </si>
  <si>
    <t xml:space="preserve">faplACP[c]</t>
  </si>
  <si>
    <t xml:space="preserve">FA_PL-ACP</t>
  </si>
  <si>
    <t xml:space="preserve">faplg3p_AFE[c]</t>
  </si>
  <si>
    <t xml:space="preserve">FA_PL-sn-glycerol_3-phosphate-AFE</t>
  </si>
  <si>
    <t xml:space="preserve">fdp[c]</t>
  </si>
  <si>
    <t xml:space="preserve">D-Fructose_1,6-bisphosphate</t>
  </si>
  <si>
    <t xml:space="preserve">C6H10O12P2</t>
  </si>
  <si>
    <t xml:space="preserve">InChI=1/C6H14O12P2/c7-4-3(1-16-19(10,11)12)18-6(9,5(4)8)2-17-20(13,14)15/h3-5,7-9H,1-2H2,(H2,10,11,12)(H2,13,14,15)/p-4/t3-,4-,5+,6?/s2
AuxInfo=1/1/N:20,19,18,17,16,15,6,5,4,11,12,14,9,10,13,8,7,3,2,1/E:(10,11,12)(13,14,15)/rA:30PPOOOOOOO-O-O-O-OOCC.oC.eC.eCCHHHHHHHHHH/rB:;;;;;s1;s2;s1;s1;s2;s2;d1;d2;s3s4;s5s15;s6s16;s3s17;s7s15;s8s18;s16;s17;s18;s19;s19;s20;s20;s4;s5;s6;/rC:9.842,3.5157,0;10.612,-3.5157,0;7.7459,.2796,0;5.5948,2.4308,0;3.7897,.7556,0;4.8248,-2.4308,0;8.9369,2.2699,0;9.7069,-2.2699,0;10.7473,4.7615,0;11.0878,2.6105,0;11.5173,-4.7615,0;11.8578,-2.6105,0;8.5962,4.4208,0;9.3662,-4.4208,0;6.5001,1.185,0;5.2541,.2796,0;5.7301,-1.185,0;7.2701,-1.185,0;7.4053,2.4308,0;8.1753,-2.4308,0;4.5791,-.3955,0;4.7871,-1.0354,0;8.2131,-1.0354,0;7.6685,3.3486,0;6.5471,2.8493,0;7.3171,-2.8493,0;8.4385,-3.3486,0;5.9832,3.3031,0;3.08,.1167,0;5.2132,-3.3031,0;
</t>
  </si>
  <si>
    <t xml:space="preserve">C00354</t>
  </si>
  <si>
    <t xml:space="preserve">fe2[c]</t>
  </si>
  <si>
    <t xml:space="preserve">Fe2</t>
  </si>
  <si>
    <t xml:space="preserve">Fe</t>
  </si>
  <si>
    <t xml:space="preserve">InChI=1S/Fe/q+2
AuxInfo=1/0/N:1/rA:1Fe+2/rB:/rC:;
</t>
  </si>
  <si>
    <t xml:space="preserve">C14818</t>
  </si>
  <si>
    <t xml:space="preserve">fe2[e]</t>
  </si>
  <si>
    <t xml:space="preserve">fe2[p]</t>
  </si>
  <si>
    <t xml:space="preserve">fe3[c]</t>
  </si>
  <si>
    <t xml:space="preserve">Fe3</t>
  </si>
  <si>
    <t xml:space="preserve">InChI=1S/Fe/q+3
AuxInfo=1/0/N:1/rA:1Fe+3/rB:/rC:;
</t>
  </si>
  <si>
    <t xml:space="preserve">C14819</t>
  </si>
  <si>
    <t xml:space="preserve">fe3[e]</t>
  </si>
  <si>
    <t xml:space="preserve">fe3[p]</t>
  </si>
  <si>
    <t xml:space="preserve">fgam[c]</t>
  </si>
  <si>
    <t xml:space="preserve">N2-formyl-N1-5-phospho-D-ribosylglycinamide</t>
  </si>
  <si>
    <t xml:space="preserve">C8H13N2O9P</t>
  </si>
  <si>
    <t xml:space="preserve">InChI=1/C8H15N2O9P/c11-3-9-1-5(12)10-8-7(14)6(13)4(19-8)2-18-20(15,16)17/h3-4,6-8,13-14H,1-2H2,(H,9,11)(H,10,12)(H2,15,16,17)/p-2/t4-,6-,7-,8-/s2
AuxInfo=1/1/N:19,17,20,14,18,13,15,16,12,11,10,6,3,4,7,8,9,5,2,1/E:(15,16,17)/rA:33POOOOOO-O-OONNC.oC.eC.oC.eCCCCHHHHHHHHHHHHH/rB:;;;s1;;s1;s1;d1;;;;s3;s2s13;s4s13;s2s11s15;s5s14;d6s11;s12s18;d10s12;s13;s14;s15;s16;s17;s17;s11;s3;s4;s19;s19;s12;s20;/rC:14.5658,1.2762,0;10.0703,-.2768,0;11.7454,-3.8927,0;8.395,-3.8927,0;13.1012,.8004,0;8.1838,1.8308,0;16.0306,1.7522,0;14.0898,2.7408,0;15.0416,-.1885,0;3.4696,4.765,0;7.3595,-.7062,0;5.2545,2.7826,0;10.8403,-2.6467,0;11.3161,-1.182,0;9.3003,-2.6467,0;8.8241,-1.182,0;12.7809,-.7062,0;7.0394,.8004,0;5.5746,1.2762,0;3.7899,3.2585,0;10.4069,-3.4976,0;11.4656,-.2389,0;9.7335,-3.4976,0;8.1489,-1.8571,0;12.9138,-1.6518,0;13.7351,-.7394,0;6.65,-1.3451,0;12.6952,-3.7929,0;8.7834,-4.765,0;4.6204,1.2428,0;5.4417,.3306,0;5.9642,3.4216,0;3.0802,2.6197,0;
</t>
  </si>
  <si>
    <t xml:space="preserve">C04376</t>
  </si>
  <si>
    <t xml:space="preserve">fmn[c]</t>
  </si>
  <si>
    <t xml:space="preserve">FMN</t>
  </si>
  <si>
    <t xml:space="preserve">C17H19N4O9P</t>
  </si>
  <si>
    <t xml:space="preserve">InChI=1/C17H21N4O9P/c1-7-3-9-10(4-8(7)2)21(15-13(18-9)16(25)20-17(26)19-15)5-11(22)14(24)12(23)6-30-31(27,28)29/h3-4,11-12,14,22-24H,5-6H2,1-2H3,(H,20,25,26)(H2,27,28,29)/p-2/t11-,12+,14-/s2
AuxInfo=1/1/N:30,29,26,23,17,22,27,25,21,19,15,18,24,16,20,28,31,12,13,14,11,2,4,3,6,7,8,9,10,5,1/E:(27,28,29)/rA:50POOOOOOO-O-ONNNNC.oC.eCC.eCCCCCCCCCCCCCHHHHHHHHHHHHHHHHHHH/rB:;;;s1;;;s1;s1;d1;;;;;s2;s3s15;s11s15;s4s16;s11;s11d+13;s12d-19;s5s18;s19;d-12s20;d-23;s21;s25d-26;d6s14s24;s25;s27;d7s13s14;s15;s16;s17;s17;s18;s22;s22;s23;s2;s26;s3;s4;s29;s29;s29;s30;s30;s30;s14;/rC:5.0975,5.5629,0;6.431,-1.3671,0;9.0985,1.7129,0;5.0975,.9429,0;5.0975,4.0229,0;11.791,-7.5803,0;14.5348,-2.87,0;5.0975,7.1029,0;3.5575,5.5629,0;6.6373,5.5629,0;9.0985,-2.9071,0;9.0985,-5.9871,0;11.8087,-2.8536,0;13.2041,-5.2491,0;7.7648,-.5971,0;7.7648,.9429,0;9.0985,-1.3671,0;6.431,1.7129,0;7.7648,-3.6771,0;10.4321,-3.6771,0;7.7648,-5.2171,0;6.431,3.2529,0;6.3881,-2.8536,0;10.4321,-5.2171,0;4.9926,-3.645,0;6.3881,-6.0405,0;4.9926,-5.2491,0;11.8087,-6.0405,0;3.662,-2.87,0;3.662,-6.0241,0;13.2041,-3.645,0;7.7648,-1.5519,0;7.7648,1.8977,0;10.0387,-1.5329,0;9.425,-.4698,0;6.431,.7581,0;7.3713,3.0871,0;6.7577,4.1502,0;6.3991,-1.899,0;5.6043,-.8897,0;6.3991,-6.9951,0;9.0985,2.6677,0;4.2706,1.4203,0;4.1425,-2.0447,0;2.837,-2.3893,0;3.1815,-3.6949,0;3.1815,-5.1992,0;2.837,-6.5048,0;4.1425,-6.8494,0;14.0291,-5.7297,0;
</t>
  </si>
  <si>
    <t xml:space="preserve">C00061</t>
  </si>
  <si>
    <t xml:space="preserve">for[c]</t>
  </si>
  <si>
    <t xml:space="preserve">Formate</t>
  </si>
  <si>
    <t xml:space="preserve">CHO2</t>
  </si>
  <si>
    <t xml:space="preserve">InChI=1S/CH2O2/c2-1-3/h1H,(H,2,3)/p-1
AuxInfo=1/1/N:3,1,2/E:(2,3)/rA:3O-OC/rB:;s1d2;/rC:5.7473,.8624,0;3.08,.8624,0;4.4137,.0924,0;
</t>
  </si>
  <si>
    <t xml:space="preserve">C00058</t>
  </si>
  <si>
    <t xml:space="preserve">fpram[c]</t>
  </si>
  <si>
    <t xml:space="preserve">2-formamido-N1-5-phospho-D-ribosylacetamidine</t>
  </si>
  <si>
    <t xml:space="preserve">C8H15N3O8P</t>
  </si>
  <si>
    <t xml:space="preserve">InChI=1/C8H16N3O8P/c9-5(1-10-3-12)11-8-7(14)6(13)4(19-8)2-18-20(15,16)17/h3-4,6-8,13-14H,1-2H2,(H2,9,11)(H,10,12)(H2,15,16,17)/p-2/t4-,6-,7-,8-/s2
AuxInfo=1/1/N:19,17,20,14,18,13,15,16,11,12,10,9,3,4,6,7,8,5,2,1/E:(15,16,17)/rA:34POOOOO-O-OONNNC.oC.eC.oC.eCCCCHHHHHHHHHHHHHH/rB:;;;s1;s1;s1;d1;;;;;s3;s2s13;s4s13;s2s10s15;s5s14;d-10s11;s12s18;d9s12;s13;s14;s15;s16;s17;s17;s3;s4;s19;s19;s11;s11;s12;s20;/rC:14.5658,1.2762,0;10.0703,-.2768,0;11.7454,-3.8927,0;8.395,-3.8927,0;13.1012,.8004,0;16.0306,1.7522,0;14.09,2.7408,0;15.0416,-.1885,0;3.4696,4.765,0;7.3595,-.7062,0;8.1838,1.8308,0;5.2545,2.7826,0;10.8403,-2.6467,0;11.3163,-1.182,0;9.3003,-2.6467,0;8.8243,-1.182,0;12.7809,-.7062,0;7.0394,.8004,0;5.5746,1.2762,0;3.7899,3.2585,0;10.4069,-3.4976,0;11.4656,-.2389,0;9.7335,-3.4976,0;8.1491,-1.8571,0;12.9138,-1.6518,0;13.7353,-.7394,0;12.6952,-3.7929,0;8.7834,-4.765,0;4.6204,1.2428,0;5.4417,.3306,0;7.9854,2.7647,0;9.092,1.5357,0;5.9642,3.4216,0;3.0802,2.6197,0;
</t>
  </si>
  <si>
    <t xml:space="preserve">C04640</t>
  </si>
  <si>
    <t xml:space="preserve">fprica[c]</t>
  </si>
  <si>
    <t xml:space="preserve">5-formamido-1-5-phospho-D-ribosylimidazole-4-carboxamide</t>
  </si>
  <si>
    <t xml:space="preserve">C10H13N4O9P</t>
  </si>
  <si>
    <t xml:space="preserve">InChI=1/C10H15N4O9P/c11-8(18)5-9(13-3-15)14(2-12-5)10-7(17)6(16)4(23-10)1-22-24(19,20)21/h2-4,6-7,10,16-17H,1H2,(H2,11,18)(H,13,15)(H2,19,20,21)/p-2/t4-,6-,7-,10-/s2
AuxInfo=1/1/N:19,21,24,18,22,16,15,23,20,17,14,12,13,11,10,4,3,9,6,7,8,5,2,1/E:(19,20,21)/rA:37POOOOO-O-OOONNNNC.oC.eC.eC.eCCCCCCHHHHHHHHHHHHH/rB:;;;s1;s1;s1;d1;;;;;;;s3;s4s15;s2s11s15;s2s16;s5s18;s11s13;s11d-12;s12d-20;d9s14s22;d10s13;s15;s16;s17;s18;s19;s19;s3;s4;s21;s13;s24;s14;s14;/rC:10.612,-5.395,0;7.7459,-1.5994,0;3.7897,-1.1235,0;4.8248,-4.3099,0;9.7069,-4.149,0;11.5173,-6.6409,0;11.8578,-4.4897,0;9.3662,-6.3002,0;9.7069,4.3004,0;11.8197,1.8297,0;6.5001,.8458,0;5.7301,3.2155,0;9.2107,1.2751,0;7.549,5.8684,0;5.2541,-1.5994,0;5.7301,-3.0641,0;6.5001,-.6942,0;7.2701,-3.0641,0;8.1753,-4.3099,0;7.7459,1.7509,0;5.2541,1.7509,0;7.2701,3.2155,0;8.1753,4.4613,0;10.355,2.3055,0;5.1048,-.6563,0;4.7871,-2.9148,0;5.6493,-.2608,0;8.2131,-2.9148,0;7.3171,-4.7286,0;8.4385,-5.2278,0;3.08,-1.7623,0;5.2132,-5.1822,0;4.3462,1.456,0;9.4091,.341,0;10.1565,3.2394,0;8.1101,6.6409,0;6.5994,5.9681,0;
</t>
  </si>
  <si>
    <t xml:space="preserve">C04734</t>
  </si>
  <si>
    <t xml:space="preserve">frdp[c]</t>
  </si>
  <si>
    <t xml:space="preserve">Farnesyl_diphosphate</t>
  </si>
  <si>
    <t xml:space="preserve">C15H25O7P2</t>
  </si>
  <si>
    <t xml:space="preserve">InChI=1S/C15H28O7P2/c1-13(2)7-5-8-14(3)9-6-10-15(4)11-12-21-24(19,20)22-23(16,17)18/h7,9,11H,5-6,8,10,12H2,1-4H3,(H,19,20)(H2,16,17,18)/p-2/b14-9+,15-11+
AuxInfo=1/1/N:23,24,17,20,15,10,18,12,14,11,19,22,21,13,16,7,8,9,5,6,3,4,2,1/E:(1,2)(16,17,18)(19,20)/rA:50PPOOO-OO-OOCCCCCCCCCCCCCCCHHHHHHHHHHHHHHHHHHHHHHHHHH/rB:;s1;s1s2;s1;d1;s2;s2;d2;;s10;;s12;s10d+13;s12;s11;s13;s15;d+16;s16;d+18;s3s19;s21;s21;s10;s10;s11;s11;s12;s12;s14;s15;s15;s17;s17;s17;s18;s19;s20;s20;s20;s22;s22;s24;s24;s24;s23;s23;s23;s8;/rC:20.4182,-.2178,0;23.0858,-.2178,0;19.0846,-.9878,0;21.7521,.5522,0;19.6482,1.1157,0;21.1882,-1.5516,0;24.4194,-.9878,0;23.8558,1.1157,0;22.3156,-1.5516,0;12.4161,-.2178,0;13.7497,-.9878,0;8.4149,-.9878,0;9.7485,-.2178,0;11.0824,-.9878,0;7.0812,-.2178,0;15.0834,-.2178,0;9.7485,1.3222,0;5.7475,-.9878,0;16.4171,-.9878,0;15.0834,1.3222,0;4.4137,-.2178,0;17.7509,-.2178,0;3.08,-.9878,0;4.4137,1.3222,0;13.0297,.5135,0;11.8022,.5135,0;13.1361,-1.7194,0;14.3634,-1.7194,0;7.8012,-1.7194,0;9.0287,-1.7194,0;11.0824,-1.9428,0;7.695,.5135,0;6.4674,.5135,0;10.7035,1.3222,0;9.7485,2.277,0;8.7937,1.3222,0;5.7475,-1.9428,0;16.4171,-1.9428,0;16.0382,1.3222,0;15.0834,2.277,0;14.1286,1.3222,0;18.3646,.5135,0;17.1371,.5135,0;5.3685,1.3222,0;4.4137,2.277,0;3.4589,1.3222,0;2.6027,-.1609,0;2.2533,-1.4653,0;3.5575,-1.8148,0;23.3783,1.9428,0;
</t>
  </si>
  <si>
    <t xml:space="preserve">C00448</t>
  </si>
  <si>
    <t xml:space="preserve">fum[c]</t>
  </si>
  <si>
    <t xml:space="preserve">Fumarate</t>
  </si>
  <si>
    <t xml:space="preserve">C4H2O4</t>
  </si>
  <si>
    <t xml:space="preserve">InChI=1S/C4H4O4/c5-3(6)1-2-4(7)8/h1-2H,(H,5,6)(H,7,8)/p-2/b2-1+
AuxInfo=1/1/N:5,6,8,7,1,3,2,4/E:(1,2)(3,4)(5,6,7,8)/gE:(1,2)/rA:10O-O-OOCCCCHH/rB:;;;;d+5;s2d4s6;s1d3s5;s5;s6;/rC:3.9066,-.3851,0;10.5747,.3851,0;5.2401,1.9249,0;9.2407,-1.9249,0;6.5738,-.3851,0;7.9074,.3851,0;9.2407,-.3851,0;5.2401,.3851,0;6.5738,-1.3397,0;7.9074,1.3397,0;
</t>
  </si>
  <si>
    <t xml:space="preserve">C00122</t>
  </si>
  <si>
    <t xml:space="preserve">g1p-B[c]</t>
  </si>
  <si>
    <t xml:space="preserve">beta-D-Glucose_1-phosphate</t>
  </si>
  <si>
    <t xml:space="preserve">InChI=1S/C6H13O9P/c7-1-2-3(8)4(9)5(10)6(14-2)15-16(11,12)13/h2-10H,1H2,(H2,11,12,13)/p-2/t2-,3-,4+,5-,6+/m1/s1
AuxInfo=1/1/N:2,3,15,13,11,5,1,16,14,12,8,9,10,4,6,7/E:(11,12,13)/it:im/rA:16OCC.oOC.oOPO-O-OC.eOC.oOC.eO/rB:s1;s2;s3;s4;s5;s6;s7;s7;d7;s5;s11;s11;s13;s3s13;s15;/rC:0,4.62,0;1.3337,3.85,0;1.3337,2.31,0;2.6673,1.54,0;2.6673,0,0;4.001,-.77,0;5.3347,0,0;6.6685,.77,0;6.1047,-1.3337,0;4.5647,1.3337,0;1.3337,-.77,0;1.3337,-2.31,0;;-1.3337,-.77,0;0,1.54,0;-1.3337,2.31,0;
</t>
  </si>
  <si>
    <t xml:space="preserve">C00663</t>
  </si>
  <si>
    <t xml:space="preserve">g1p[c]</t>
  </si>
  <si>
    <t xml:space="preserve">alpha-D-Glucose_1-phosphate</t>
  </si>
  <si>
    <t xml:space="preserve">InChI=1/C6H13O9P/c7-1-2-3(8)4(9)5(10)6(14-2)15-16(11,12)13/h2-10H,1H2,(H2,11,12,13)/p-2/t2-,3-,4+,5-,6-/s2
AuxInfo=1/1/N:16,14,12,11,13,15,7,5,3,6,8,9,10,2,4,1/E:(11,12,13)/rA:27POOOOOOO-O-OC.eC.eC.oC.eC.oCHHHHHHHHHHH/rB:;;s1;;;;s1;s1;d1;s3;s5s11;s6s11;s2s12;s2s4s13;s7s14;s11;s12;s13;s14;s15;s16;s16;s3;s5;s6;s7;/rC:9.2417,2.31,0;6.5744,.77,0;6.5744,-3.85,0;9.2417,.77,0;3.9069,-2.31,0;9.2417,-2.31,0;3.9069,2.31,0;9.2417,3.85,0;10.7819,2.31,0;7.7017,2.31,0;6.5744,-2.31,0;5.2407,-1.54,0;7.9081,-1.54,0;5.2407,0,0;7.9081,0,0;3.9069,.77,0;7.4013,-2.7875,0;5.2407,-2.4948,0;7.9081,-2.4948,0;5.2407,.9548,0;7.9081,.9548,0;2.9667,.9359,0;3.5805,-.1271,0;5.7475,-4.3275,0;3.08,-1.8327,0;9.2417,-3.2648,0;3.08,2.7875,0;
</t>
  </si>
  <si>
    <t xml:space="preserve">C00103</t>
  </si>
  <si>
    <t xml:space="preserve">g3p[c]</t>
  </si>
  <si>
    <t xml:space="preserve">D-Glyceraldehyde_3-phosphate</t>
  </si>
  <si>
    <t xml:space="preserve">InChI=1/C3H7O6P/c4-1-3(5)2-9-10(6,7)8/h1,3,5H,2H2,(H2,6,7,8)/p-2
AuxInfo=1/1/N:10,8,9,7,3,4,5,6,2,1/E:(6,7,8)/rA:15POOO-O-OOCCCHHHHH/rB:s1;;s1;s1;d1;;s2;s3s8;d7s9;s8;s8;s9;s10;s3;/rC:5.2407,-.7269,0;6.5744,.0431,0;9.2417,1.5831,0;3.9069,-1.4969,0;4.4707,.6069,0;6.0107,-2.0606,0;11.9091,.0431,0;7.9081,-.7269,0;9.2417,.0431,0;10.5756,-.7269,0;7.2944,-1.4582,0;8.5217,-1.4582,0;10.3755,.6976,0;10.5756,-1.6817,0;10.0688,2.0606,0;
</t>
  </si>
  <si>
    <t xml:space="preserve">C00118</t>
  </si>
  <si>
    <t xml:space="preserve">g6p-A[c]</t>
  </si>
  <si>
    <t xml:space="preserve">alpha-D-Glucose_6-phosphate</t>
  </si>
  <si>
    <t xml:space="preserve">InChI=1S/C6H13O9P/c7-3-2(1-14-16(11,12)13)15-6(10)5(9)4(3)8/h2-10H,1H2,(H2,11,12,13)/p-2/t2-,3-,4+,5-,6+/m1/s1
AuxInfo=1/1/N:5,4,11,13,15,2,12,14,16,1,8,9,10,6,3,7/E:(11,12,13)/it:im/rA:16OC.o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</si>
  <si>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C00668</t>
  </si>
  <si>
    <t xml:space="preserve">g6p-B[c]</t>
  </si>
  <si>
    <t xml:space="preserve">beta-D-Glucose_6-phosphate</t>
  </si>
  <si>
    <t xml:space="preserve">InChI=1S/C6H13O9P/c7-3-2(1-14-16(11,12)13)15-6(10)5(9)4(3)8/h2-10H,1H2,(H2,11,12,13)/p-2/t2-,3-,4+,5-,6-/m1/s1
AuxInfo=1/1/N:5,4,11,13,15,2,12,14,16,1,8,9,10,6,3,7/E:(11,12,13)/it:im/rA:16OC.e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</si>
  <si>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C01172</t>
  </si>
  <si>
    <t xml:space="preserve">gam1p[c]</t>
  </si>
  <si>
    <t xml:space="preserve">D-Glucosamine_1-phosphate</t>
  </si>
  <si>
    <t xml:space="preserve">C6H13NO8P</t>
  </si>
  <si>
    <t xml:space="preserve">InChI=1/C6H14NO8P/c7-3-5(10)4(9)2(1-8)14-6(3)15-16(11,12)13/h2-6,8-10H,1,7H2,(H2,11,12,13)/p-1/t2-,3-,4-,5-,6-/s2
AuxInfo=1/1/N:16,14,12,13,11,15,10,6,5,3,7,8,9,2,4,1/E:(11,12,13)/rA:28POOOOOO-O-ON+C.oC.oC.eC.eC.oCHHHHHHHHHHHH/rB:;;s1;;;s1;s1;d1;;s3;s10s11;s5s11;s2s13;s2s4s12;s6s14;s11;s12;s13;s14;s15;s16;s16;s10;s10;s3;s5;s6;/rC:5.2407,1.3937,0;7.9081,-.1463,0;11.9091,2.1638,0;6.5744,2.1638,0;11.9091,-.9163,0;7.9081,-3.2263,0;3.9069,.6237,0;4.4707,2.7274,0;6.0107,.0601,0;9.2417,3.7038,0;10.5756,1.3937,0;9.2417,2.1638,0;10.5756,-.1463,0;9.2417,-.9163,0;7.9081,1.3937,0;9.2417,-2.4563,0;11.4023,.9163,0;10.0688,2.6411,0;11.4023,.3311,0;8.4149,-1.3937,0;7.9081,2.3486,0;9.5683,-3.3537,0;10.1821,-2.2904,0;10.0688,4.1811,0;8.4149,4.1811,0;12.7361,1.6863,0;11.9091,-1.8711,0;7.9081,-4.1811,0;
</t>
  </si>
  <si>
    <t xml:space="preserve">C06156</t>
  </si>
  <si>
    <t xml:space="preserve">gam6p[c]</t>
  </si>
  <si>
    <t xml:space="preserve">D-Glucosamine_6-phosphate</t>
  </si>
  <si>
    <t xml:space="preserve">InChI=1/C6H14NO8P/c7-3-5(9)4(8)2(15-6(3)10)1-14-16(11,12)13/h2-6,8-10H,1,7H2,(H2,11,12,13)/p-1/t2-,3-,4-,5-,6?/s2
AuxInfo=1/1/N:16,14,13,11,12,15,10,3,4,5,7,8,9,6,2,1/E:(11,12,13)/rA:28POOOOOO-O-ON+C.eC.eC.oC.eCCHHHHHHHHHHHH/rB:;;;;s1;s1;s1;d1;;s3;s4s11;s10s12;s2s11;s2s5s13;s6s14;s11;s12;s14;s13;s15;s16;s16;s10;s10;s3;s4;s5;/rC:7.9081,-3.4651,0;7.9081,1.1551,0;3.9069,.3851,0;3.9069,3.4651,0;9.2417,3.4651,0;7.9081,-1.9251,0;7.9081,-5.0051,0;9.4481,-3.4651,0;6.3681,-3.4651,0;6.5744,5.0051,0;5.2407,1.1551,0;5.2407,2.6951,0;6.5744,3.4651,0;6.5744,.3851,0;7.9081,2.6951,0;6.5744,-1.1551,0;5.2407,.2003,0;5.2407,3.6499,0;7.4013,-.0924,0;7.4013,3.9424,0;7.9081,4.004,0;5.634,-.9891,0;6.2477,-2.0522,0;7.4013,5.4826,0;5.7475,5.4826,0;3.9069,-.5699,0;3.08,2.9876,0;10.0688,2.9876,0;
</t>
  </si>
  <si>
    <t xml:space="preserve">C00352</t>
  </si>
  <si>
    <t xml:space="preserve">gam[c]</t>
  </si>
  <si>
    <t xml:space="preserve">D-Glucosamine</t>
  </si>
  <si>
    <t xml:space="preserve">C6H14NO5</t>
  </si>
  <si>
    <t xml:space="preserve">InChI=1/C6H13NO5/c7-3-5(10)4(9)2(1-8)12-6(3)11/h2-6,8-11H,1,7H2/p+1/t2-,3-,4-,5-,6?/s2
AuxInfo=1/1/N:12,10,9,8,7,11,6,5,3,2,4,1/rA:25OOOOON+C.eC.eC.oC.eCCHHHHHHHHHHHHH/rB:;;;;;s2;s3s7;s6s7;s1s8;s1s4s9;s5s10;s7;s8;s9;s10;s11;s12;s12;s6;s6;s2;s3;s4;s5;/rC:7.9081,-.1463,0;3.9069,2.1638,0;3.9069,-.9163,0;9.2417,2.1638,0;7.9081,-3.2263,0;6.5744,3.7038,0;5.2407,1.3937,0;5.2407,-.1463,0;6.5744,2.1638,0;6.5744,-.9163,0;7.9081,1.3937,0;6.5744,-2.4563,0;5.2407,2.3486,0;5.2407,-1.1011,0;7.4013,2.6411,0;7.4013,-1.3937,0;7.9081,2.3486,0;5.634,-2.2904,0;6.2477,-3.3537,0;7.4013,4.1811,0;5.7475,4.1811,0;3.08,1.6863,0;3.9069,-1.8711,0;10.0688,1.6863,0;7.9081,-4.1811,0;
</t>
  </si>
  <si>
    <t xml:space="preserve">C00329</t>
  </si>
  <si>
    <t xml:space="preserve">gar[c]</t>
  </si>
  <si>
    <t xml:space="preserve">N1-5-phospho-D-ribosylglycinamide</t>
  </si>
  <si>
    <t xml:space="preserve">C7H14N2O8P</t>
  </si>
  <si>
    <t xml:space="preserve">InChI=1/C7H15N2O8P/c8-1-4(10)9-7-6(12)5(11)3(17-7)2-16-18(13,14)15/h3,5-7,11-12H,1-2,8H2,(H,9,10)(H2,13,14,15)/p-1/t3-,5-,6-,7-/s2
AuxInfo=1/1/N:18,16,13,17,12,14,15,11,10,6,3,4,7,8,9,5,2,1/E:(13,14,15)/rA:31POOOOOO-O-ONN+C.oC.eC.oC.eCCCHHHHHHHHHHHHH/rB:;;;s1;;s1;s1;d1;;;s3;s2s12;s4s12;s2s10s14;s5s13;d6s10;s11s17;s12;s13;s14;s15;s16;s16;s10;s3;s4;s18;s18;s11;s11;/rC:13.2996,1.9479,0;8.8041,.3948,0;10.4795,-3.2209,0;7.1288,-3.2209,0;11.835,1.4721,0;6.9179,2.5025,0;14.7644,2.4239,0;12.8238,3.4126,0;13.7756,.4833,0;6.0934,-.0343,0;3.9881,3.4545,0;9.5741,-1.9749,0;10.0499,-.5103,0;8.0339,-1.9749,0;7.5581,-.5103,0;11.5147,-.0343,0;5.7732,1.4721,0;4.3086,1.9479,0;10.5174,-1.8256,0;10.1995,.4327,0;8.4676,-2.8258,0;6.883,-1.1855,0;11.6476,-.98,0;12.469,-.0678,0;5.3838,-.6733,0;11.429,-3.1211,0;7.5173,-4.0932,0;3.3542,1.9146,0;4.1757,1.0024,0;3.0802,3.7496,0;4.6978,4.0932,0;
</t>
  </si>
  <si>
    <t xml:space="preserve">C03838</t>
  </si>
  <si>
    <t xml:space="preserve">gcald[c]</t>
  </si>
  <si>
    <t xml:space="preserve">Glycolaldehyde</t>
  </si>
  <si>
    <t xml:space="preserve">C2H4O2</t>
  </si>
  <si>
    <t xml:space="preserve">InChI=1S/C2H4O2/c3-1-2-4/h1,4H,2H2
AuxInfo=1/0/N:4,3,2,1/rA:8OOCCHHHH/rB:;s1;d2s3;s3;s3;s4;s1;/rC:7.0812,.0924,0;3.08,.8624,0;5.7475,.8624,0;4.4137,.0924,0;6.3612,1.5939,0;5.1337,1.5939,0;4.4137,-.8624,0;7.9081,.5699,0;
</t>
  </si>
  <si>
    <t xml:space="preserve">C00266</t>
  </si>
  <si>
    <t xml:space="preserve">gdp[c]</t>
  </si>
  <si>
    <t xml:space="preserve">GDP</t>
  </si>
  <si>
    <t xml:space="preserve">C10H12N5O11P2</t>
  </si>
  <si>
    <t xml:space="preserve">InChI=1/C10H15N5O11P2/c11-10-13-7-4(8(18)14-10)12-2-15(7)9-6(17)5(16)3(25-9)1-24-28(22,23)26-27(19,20)21/h2-3,5-6,9,16-17H,1H2,(H,22,23)(H2,19,20,21)(H3,11,13,14,18)/p-3/t3-,5-,6-,9-/s2
AuxInfo=1/1/N:23,25,22,26,20,19,24,27,21,28,18,16,15,17,14,5,4,10,11,12,13,8,9,6,3,7,2,1/E:(19,20,21)(22,23)/rA:28PPOOOOOO-OOO-O-ONNNNNC.eC.oC.oC.oCCCCCC/rB:;;;;s1;s1s2;s1;d1;;s2;s2;d2;;;;;;s4;s5s19;s3s14s19;s3s20;s6s22;s14s15;s14d-16;s16d-24;d10s17s26;s15d-17s18;/rC:15.2126,3.2603,0;17.8659,3.5343,0;11.3092,.5428,0;7.4006,1.3197,0;9.3746,4.0268,0;13.9651,2.3572,0;16.4601,4.1632,0;16.1157,2.0126,0;14.3095,4.5076,0;6.5744,-5.7137,0;19.2717,2.9057,0;18.4946,4.9403,0;17.237,2.1286,0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</si>
  <si>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C00035</t>
  </si>
  <si>
    <t xml:space="preserve">gdpddman[c]</t>
  </si>
  <si>
    <t xml:space="preserve">GDP-4-Dehydro-6-deoxy-D-mannose</t>
  </si>
  <si>
    <t xml:space="preserve">C16H22N5O15P2</t>
  </si>
  <si>
    <t xml:space="preserve">InChI=1/C16H23N5O15P2/c1-4-7(22)9(24)11(26)15(33-4)35-38(30,31)36-37(28,29)32-2-5-8(23)10(25)14(34-5)21-3-18-6-12(21)19-16(17)20-13(6)27/h3-5,8-11,14-15,23-26H,2H2,1H3,(H,28,29)(H,30,31)(H3,17,19,20,27)/p-1/t4-,5-,8-,9+,10-,11+,14-,15-/s2
AuxInfo=1/1/N:38,27,29,34,26,30,35,24,33,23,31,28,36,25,32,37,22,20,19,21,18,13,5,11,4,10,16,12,14,15,17,6,7,3,8,9,1,2/E:(28,29)(30,31)/rA:59PPOOOOOOOOOO-OOO-OONNNN+NC.oC.eC.eC.eCCCCC.oC.oC.oC.eCCCCHHHHHHHHHHHHHHHHHHHHH/rB:;;;;s1;;s2;s1s2;;;s1;;d1;s2;;d2;;;;;;s4;s5s23;s3s18s23;s3s24;s6s26;s18s19;s18d-20;s20d-28;s10;s7s8s31;s11s31;s7;d13s33s34;d16s21s30;s19d-21s22;s34;s23;s24;s25;s26;s27;s27;s4;s5;s29;s31;s32;s33;s34;s19;s38;s38;s38;s10;s11;s22;s22;/rC:15.2126,1.9494,0;17.8659,2.2236,0;11.3092,-.7679,0;7.4006,.0088,0;9.3746,2.716,0;13.9651,1.0463,0;21.9249,1.8689,0;19.2717,1.5949,0;16.4601,2.8525,0;18.9549,4.6586,0;21.4499,6.4646,0;16.1157,.7019,0;24.2616,5.2071,0;14.3095,3.1969,0;18.4946,3.6294,0;6.5744,-7.0245,0;17.237,.8178,0;9.3653,-2.705,0;6.5744,-2.4045,0;9.3653,-5.1837,0;5.2407,-4.7145,0;3.9069,-2.4045,0;8.9406,.0062,0;9.848,1.2505,0;9.8437,-1.2413,0;11.3118,.7721,0;12.5593,1.6751,0;7.9079,-3.1745,0;10.2641,-3.9445,0;7.9079,-4.7145,0;20.3609,4.0296,0;20.5191,2.4978,0;21.6083,4.9327,0;23.1722,2.772,0;23.0139,4.304,0;6.5744,-5.4845,0;5.2407,-3.1745,0;24.5782,2.1433,0;8.5086,.8577,0;8.9051,1.4015,0;8.9005,-1.3892,0;12.1619,.3371,0;13.0945,2.4657,0;11.8737,2.3397,0;6.9246,.8365,0;10.0149,3.4244,0;11.2189,-3.9445,0;20.2627,4.9795,0;19.6476,2.8877,0;20.7366,5.3226,0;23.2706,1.8222,0;6.5744,-1.4497,0;24.1883,1.2716,0;25.4498,1.7534,0;24.968,3.0147,0;18.8569,5.6084,0;22.2234,7.0245,0;3.08,-2.8818,0;3.9069,-1.4497,0;
</t>
  </si>
  <si>
    <t xml:space="preserve">C01222</t>
  </si>
  <si>
    <t xml:space="preserve">gdpfuc[c]</t>
  </si>
  <si>
    <t xml:space="preserve">GDP-L-fucose</t>
  </si>
  <si>
    <t xml:space="preserve">C16H24N5O15P2</t>
  </si>
  <si>
    <t xml:space="preserve">InChI=1/C16H25N5O15P2/c1-4-7(22)9(24)11(26)15(33-4)35-38(30,31)36-37(28,29)32-2-5-8(23)10(25)14(34-5)21-3-18-6-12(21)19-16(17)20-13(6)27/h3-5,7-11,14-15,22-26H,2H2,1H3,(H,28,29)(H,30,31)(H3,17,19,20,27)/p-1/t4-,5+,7+,8+,9+,10+,11-,14+,15+/s2
AuxInfo=1/1/N:35,29,34,31,26,36,28,24,27,23,30,33,37,25,32,38,22,20,19,21,18,10,6,9,5,11,17,13,15,14,16,7,4,3,8,12,1,2/E:(28,29)(30,31)/rA:38PPOOOOOOOOOOO-O-OOONNNN+NC.eC.oC.oC.oC.eC.oCC.oC.eC.eCCCCCC/rB:;;;;;s1;s2;;;;s1s2;s1;s2;d1;d2;;;;;;;s5;s6s23;s3s18s23;s3s24;s9;s10s27;s7s26;s11s27;s4s28;s4s8s30;s18s19;s18d-20;s31;s20d-33;d17s21s36;s19d-21s22;/rC:15.2126,2.2294,0;17.8659,2.5034,0;11.3092,-.4879,0;20.3609,4.3096,0;7.4006,.2888,0;9.3746,2.996,0;13.9651,1.3263,0;19.2717,1.8747,0;24.5782,2.4233,0;24.2616,5.4869,0;22.0832,.6171,0;16.4601,3.1325,0;16.1157,.9817,0;18.4946,3.9094,0;14.3095,3.4769,0;17.237,1.0978,0;6.5744,-6.7446,0;9.3653,-2.4252,0;6.5744,-2.1245,0;9.3653,-4.9037,0;5.2407,-4.4345,0;3.9069,-2.1245,0;8.9406,.2862,0;9.848,1.5305,0;9.8437,-.9613,0;11.3118,1.0521,0;23.1722,3.052,0;23.0139,4.584,0;12.5593,1.9551,0;21.9249,2.1489,0;21.6083,5.2127,0;20.5191,2.7778,0;7.9079,-2.8945,0;10.2641,-3.6645,0;21.4499,6.7446,0;7.9079,-4.4345,0;6.5744,-5.2045,0;5.2407,-2.8945,0;
</t>
  </si>
  <si>
    <t xml:space="preserve">C00325</t>
  </si>
  <si>
    <t xml:space="preserve">gdpmann[c]</t>
  </si>
  <si>
    <t xml:space="preserve">GDPmannose</t>
  </si>
  <si>
    <t xml:space="preserve">C16H24N5O16P2</t>
  </si>
  <si>
    <t xml:space="preserve">InChI=1/C16H25N5O16P2/c17-16-19-12-6(13(28)20-16)18-3-21(12)14-10(26)8(24)5(34-14)2-33-38(29,30)37-39(31,32)36-15-11(27)9(25)7(23)4(1-22)35-15/h3-5,7-11,14-15,22-27H,1-2H2,(H,29,30)(H,31,32)(H3,17,19,20,28)/p-1/t4-,5-,7-,8-,9+,10-,11+,14-,15-/s2
AuxInfo=1/1/N:35,32,36,31,27,37,29,25,28,24,30,34,38,26,33,39,23,21,20,22,19,13,10,6,9,5,11,18,14,16,15,17,7,3,4,8,12,1,2/E:(29,30)(31,32)/rA:39PPOOOOOOOOOOOO-O-OOONNNN+NC.eC.oC.oC.oC.oC.oC.oC.oCC.eCCCCCC/rB:;;;;;s1;s2;;;;s1s2;;s1;s2;d1;d2;;;;;;;s5;s6s24;s3s19s24;s3s25;s9;s10s28;s11s28;s4s29;s7s27;s4s8s30;s19s20;s13s31;s19d-21;s21d-34;d18s22s37;s20d-22s23;/rC:15.2126,1.3029,0;17.8659,1.5771,0;11.3092,-1.4144,0;20.3609,3.3833,0;7.4006,-.6377,0;9.3746,2.0696,0;13.9651,.3998,0;19.2717,.9483,0;24.5784,1.4967,0;24.2616,4.5605,0;22.0832,-.3093,0;16.4603,2.206,0;22.6975,6.7211,0;16.1157,.0554,0;18.4947,2.9829,0;14.3095,2.5504,0;17.2372,.1714,0;6.5744,-7.6709,0;9.3653,-3.3516,0;6.5744,-3.0509,0;9.3653,-5.8303,0;5.2407,-5.3609,0;3.9069,-3.0509,0;8.9406,-.6403,0;9.848,.6041,0;9.8437,-1.8878,0;11.3118,.1256,0;23.1724,2.1256,0;23.0141,3.6574,0;21.9249,1.2225,0;21.6083,4.2862,0;12.5593,1.0287,0;20.5193,1.8514,0;7.9081,-3.8211,0;21.4501,5.8182,0;10.2641,-4.5911,0;7.9081,-5.3609,0;6.5744,-6.1309,0;5.2407,-3.8211,0;
</t>
  </si>
  <si>
    <t xml:space="preserve">C00096</t>
  </si>
  <si>
    <t xml:space="preserve">glc-A[c]</t>
  </si>
  <si>
    <t xml:space="preserve">alpha-D-Glucose</t>
  </si>
  <si>
    <t xml:space="preserve">C6H12O6</t>
  </si>
  <si>
    <t xml:space="preserve">InChI=1S/C6H12O6/c7-1-2-3(8)4(9)5(10)6(11)12-2/h2-11H,1H2/t2-,3-,4+,5-,6+/m1/s1
AuxInfo=1/0/N:2,3,11,9,7,5,1,12,10,8,6,4/it:im/rA:12OCC.oOC.eOC.eOC.oOC.eO/rB:s1;s2;s3;s4;s5;s5;s7;s7;s9;s3s9;s11;/rC:0,4.62,0;1.3337,3.85,0;1.3337,2.31,0;2.6673,1.54,0;2.6673,0,0;4.001,-.77,0;1.3337,-.77,0;1.3337,-2.31,0;;-1.3337,-.77,0;0,1.54,0;-1.3337,2.31,0;
</t>
  </si>
  <si>
    <t xml:space="preserve">C00267</t>
  </si>
  <si>
    <t xml:space="preserve">glc-B[c]</t>
  </si>
  <si>
    <t xml:space="preserve">beta-D-Glucose</t>
  </si>
  <si>
    <t xml:space="preserve">InChI=1S/C6H12O6/c7-1-2-3(8)4(9)5(10)6(11)12-2/h2-11H,1H2/t2-,3-,4+,5-,6-/m1/s1
AuxInfo=1/0/N:2,3,11,9,7,5,1,12,10,8,6,4/it:im/rA:12OCC.oOC.oOC.eOC.oOC.eO/rB:s1;s2;s3;s4;s5;s5;s7;s7;s9;s3s9;s11;/rC:0,4.62,0;1.3337,3.85,0;1.3337,2.31,0;2.6673,1.54,0;2.6673,0,0;4.001,-.77,0;1.3337,-.77,0;1.3337,-2.31,0;;-1.3337,-.77,0;0,1.54,0;-1.3337,2.31,0;
</t>
  </si>
  <si>
    <t xml:space="preserve">C00221</t>
  </si>
  <si>
    <t xml:space="preserve">gln-L[c]</t>
  </si>
  <si>
    <t xml:space="preserve">L-Glutamine</t>
  </si>
  <si>
    <t xml:space="preserve">C5H10N2O3</t>
  </si>
  <si>
    <t xml:space="preserve">InChI=1/C5H10N2O3/c6-3(5(9)10)1-2-4(7)8/h3H,1-2,6H2,(H2,7,8)(H,9,10)/t3-/s2
AuxInfo=1/1/N:6,8,7,10,9,4,5,3,1,2/E:(9,10)/rA:10O-OON+NCC.oCCC/rB:;;;;;s4s6;s6;s1d2s7;d3s5s8;/rC:9.2417,1.6324,0;7.9081,3.9424,0;6.5744,-2.9876,0;5.2407,2.4024,0;3.9069,-2.9876,0;6.5744,.0924,0;6.5744,1.6324,0;5.2407,-.6776,0;7.9081,2.4024,0;5.2407,-2.2176,0;
</t>
  </si>
  <si>
    <t xml:space="preserve">C00064</t>
  </si>
  <si>
    <t xml:space="preserve">glu-D[c]</t>
  </si>
  <si>
    <t xml:space="preserve">D-Glutamate</t>
  </si>
  <si>
    <t xml:space="preserve">C5H8NO4</t>
  </si>
  <si>
    <t xml:space="preserve">InChI=1/C5H9NO4/c6-3(5(9)10)1-2-4(7)8/h3H,1-2,6H2,(H,7,8)(H,9,10)/p-1/t3-/s2
AuxInfo=1/1/N:6,8,7,10,9,5,2,4,1,3/E:(7,8)(9,10)/rA:17O-O-OON+CC.oCCCHHHHHHH/rB:;;;;;s5s6;s6;s1d3s7;s2d4s8;s6;s6;s7;s8;s8;s5;s5;/rC:8.4149,1.6324,0;3.08,-2.9876,0;7.0812,3.9424,0;5.7475,-2.9876,0;4.4137,2.4024,0;5.7475,.0924,0;5.7475,1.6324,0;4.4137,-.6776,0;7.0812,2.4024,0;4.4137,-2.2176,0;6.0741,-.8049,0;6.6877,.2583,0;5.7475,2.5872,0;4.0873,.2195,0;3.4733,-.8435,0;3.5868,1.9251,0;4.4137,3.3572,0;
</t>
  </si>
  <si>
    <t xml:space="preserve">C00217</t>
  </si>
  <si>
    <t xml:space="preserve">glu-L[c]</t>
  </si>
  <si>
    <t xml:space="preserve">L-Glutamate</t>
  </si>
  <si>
    <t xml:space="preserve">InChI=1/C5H9NO4/c6-3(5(9)10)1-2-4(7)8/h3H,1-2,6H2,(H,7,8)(H,9,10)/p-1/t3-/s2
AuxInfo=1/1/N:6,8,7,10,9,5,2,4,1,3/E:(7,8)(9,10)/rA:10O-O-OON+CC.oCCC/rB:;;;;;s5s6;s6;s1d3s7;s2d4s8;/rC:8.4149,1.6324,0;3.08,-2.9876,0;7.0812,3.9424,0;5.7475,-2.9876,0;4.4137,2.4024,0;5.7475,.0924,0;5.7475,1.6324,0;4.4137,-.6776,0;7.0812,2.4024,0;4.4137,-2.2176,0;
</t>
  </si>
  <si>
    <t xml:space="preserve">C00025</t>
  </si>
  <si>
    <t xml:space="preserve">glu1sa[c]</t>
  </si>
  <si>
    <t xml:space="preserve">L-Glutamate_1-semialdehyde</t>
  </si>
  <si>
    <t xml:space="preserve">InChI=1/C5H9NO3/c6-4(3-7)1-2-5(8)9/h3-4H,1-2,6H2,(H,8,9)/t4-/s2
AuxInfo=1/1/N:5,7,8,6,9,4,2,1,3/E:(8,9)/rA:17O-OON+CC.eCCCHHHHHHHH/rB:;;;;s4s5;s5;d2s6;s1d3s7;s5;s5;s6;s7;s7;s4;s4;s8;/rC:8.4149,-2.6951,0;3.08,1.9251,0;5.7475,-2.6951,0;7.0812,2.6951,0;5.7475,.3851,0;5.7475,1.9251,0;7.0812,-.3851,0;4.4137,2.6951,0;7.0812,-1.9251,0;4.8072,.5509,0;5.421,-.5122,0;5.7475,2.8799,0;8.0216,-.5509,0;7.4077,.5122,0;7.9081,2.2176,0;7.0812,3.6499,0;4.4137,3.6499,0;
</t>
  </si>
  <si>
    <t xml:space="preserve">C03741</t>
  </si>
  <si>
    <t xml:space="preserve">glu5p[c]</t>
  </si>
  <si>
    <t xml:space="preserve">L-Glutamate_5-phosphate</t>
  </si>
  <si>
    <t xml:space="preserve">C5H8NO7P</t>
  </si>
  <si>
    <t xml:space="preserve">InChI=1/C5H10NO7P/c6-3(5(8)9)1-2-4(7)13-14(10,11)12/h3H,1-2,6H2,(H,8,9)(H2,10,11,12)/p-2/t3-/s2
AuxInfo=1/1/N:10,12,11,13,14,9,4,3,5,6,7,8,2,1/E:(8,9)(10,11,12)/rA:21POO-OOO-O-ON+CC.eCCCHHHHHHH/rB:s1;;;;s1;s1;d1;;;s9s10;s10;s2d4s12;s3d5s11;s10;s10;s11;s12;s12;s9;s9;/rC:5.2407,-.6237,0;6.5744,.1463,0;14.5766,.1463,0;7.9081,-2.1638,0;13.2429,-2.1638,0;3.9069,-1.3937,0;4.4707,.7099,0;6.0107,-1.9574,0;11.9091,1.6863,0;10.5756,-.6237,0;11.9091,.1463,0;9.2417,.1463,0;7.9081,-.6237,0;13.2429,-.6237,0;9.9617,-1.355,0;11.1894,-1.355,0;12.7361,.6237,0;9.8556,.8777,0;8.6281,.8777,0;12.7361,2.1638,0;11.0824,2.1638,0;
</t>
  </si>
  <si>
    <t xml:space="preserve">C03287</t>
  </si>
  <si>
    <t xml:space="preserve">glu5sa[c]</t>
  </si>
  <si>
    <t xml:space="preserve">L-Glutamate_5-semialdehyde</t>
  </si>
  <si>
    <t xml:space="preserve">InChI=1/C5H9NO3/c6-4(5(8)9)2-1-3-7/h3-4H,1-2,6H2,(H,8,9)/t4-/s2
AuxInfo=1/1/N:7,5,9,6,8,4,3,1,2/E:(8,9)/rA:17O-OON+CC.eCCCHHHHHHHH/rB:;;;;s4s5;s5;s1d2s6;d3s7;s5;s5;s6;s7;s7;s4;s4;s9;/rC:8.4149,1.1551,0;7.0812,3.4651,0;3.08,-3.4651,0;4.4137,1.9251,0;5.7475,-.3851,0;5.7475,1.1551,0;4.4137,-1.1551,0;7.0812,1.9251,0;4.4137,-2.6951,0;6.0741,-1.2822,0;6.6877,-.2191,0;5.7475,2.1099,0;4.0873,-.2578,0;3.4733,-1.3209,0;3.5868,1.4476,0;4.4137,2.8799,0;5.2407,-3.1724,0;
</t>
  </si>
  <si>
    <t xml:space="preserve">C01165</t>
  </si>
  <si>
    <t xml:space="preserve">glucys[c]</t>
  </si>
  <si>
    <t xml:space="preserve">gamma-Glutamylcysteine</t>
  </si>
  <si>
    <t xml:space="preserve">C8H13N2O5S</t>
  </si>
  <si>
    <t xml:space="preserve">InChI=1/C8H14N2O5S/c9-4(7(12)13)1-2-6(11)10-5(3-16)8(14)15/h4-5,16H,1-3,9H2,(H,10,11)(H,12,13)(H,14,15)/p-1/t4-,5-/s2
AuxInfo=1/1/N:9,10,14,11,12,13,15,16,8,7,2,3,5,4,6,1/E:(12,13)(14,15)/rA:28SOO-O-OONN+CCC.eC.eCCCCHHHHHHHHHHHH/rB:;;;;;;;;s9;s8s9;s7;d2s7s10;s1s12;s3d5s11;s4d6s12;s9;s9;s10;s10;s11;s12;s7;s14;s14;s8;s8;s1;/rC:5.2407,-2.0713,0;9.2417,-1.3013,0;15.9103,1.0087,0;3.9069,.2387,0;14.5766,-1.3013,0;5.2407,2.5487,0;7.9081,1.0087,0;13.2429,2.5487,0;11.9091,.2387,0;10.5756,1.0087,0;13.2429,1.0087,0;6.5744,.2387,0;9.2417,.2387,0;6.5744,-1.3013,0;14.5766,.2387,0;5.2407,1.0087,0;11.2956,-.4926,0;12.5229,-.4926,0;11.1894,1.7403,0;9.9617,1.7403,0;12.4161,1.4861,0;6.5744,1.1935,0;7.9081,1.9635,0;6.9009,-2.1986,0;7.5148,-1.1355,0;14.0698,3.0262,0;12.4161,3.0262,0;5.2407,-3.0262,0;
</t>
  </si>
  <si>
    <t xml:space="preserve">C00669</t>
  </si>
  <si>
    <t xml:space="preserve">glx[c]</t>
  </si>
  <si>
    <t xml:space="preserve">Glyoxylate</t>
  </si>
  <si>
    <t xml:space="preserve">C2HO3</t>
  </si>
  <si>
    <t xml:space="preserve">InChI=1S/C2H2O3/c3-1-2(4)5/h1H,(H,4,5)/p-1
AuxInfo=1/1/N:5,4,3,1,2/E:(4,5)/rA:6O-OOCCH/rB:;;s1d2;d3s4;s5;/rC:3.9069,.6776,0;5.2407,-1.6324,0;7.9081,-.0924,0;5.2407,-.0924,0;6.5744,.6776,0;6.5744,1.6324,0;
</t>
  </si>
  <si>
    <t xml:space="preserve">C00048</t>
  </si>
  <si>
    <t xml:space="preserve">gly[c]</t>
  </si>
  <si>
    <t xml:space="preserve">Glycine</t>
  </si>
  <si>
    <t xml:space="preserve">C2H5NO2</t>
  </si>
  <si>
    <t xml:space="preserve">InChI=1S/C2H5NO2/c3-1-2(4)5/h1,3H2,(H,4,5)
AuxInfo=1/1/N:4,5,3,1,2/E:(4,5)/rA:5O-ON+CC/rB:;;s3;s1d2s4;/rC:3.9069,1.1551,0;5.2407,-1.1551,0;7.9081,.3851,0;6.5744,1.1551,0;5.2407,.3851,0;
</t>
  </si>
  <si>
    <t xml:space="preserve">C00037</t>
  </si>
  <si>
    <t xml:space="preserve">glyc-R[c]</t>
  </si>
  <si>
    <t xml:space="preserve">R-Glycerate</t>
  </si>
  <si>
    <t xml:space="preserve">C3H5O4</t>
  </si>
  <si>
    <t xml:space="preserve">InChI=1/C3H6O4/c4-1-2(5)3(6)7/h2,4-5H,1H2,(H,6,7)/p-1/t2-/s2
AuxInfo=1/1/N:6,5,7,2,1,3,4/E:(6,7)/rA:12OOO-OC.oCCHHHHH/rB:;;;s1;s2s5;s3d4s5;s5;s6;s6;s1;s2;/rC:6.5744,-1.6863,0;3.9069,-.1463,0;9.2417,-.1463,0;7.9081,2.1638,0;6.5744,-.1463,0;5.2407,.6237,0;7.9081,.6237,0;7.4013,-.6237,0;5.8544,1.355,0;4.6269,1.355,0;5.7475,-2.1638,0;3.08,.3311,0;
</t>
  </si>
  <si>
    <t xml:space="preserve">C00258</t>
  </si>
  <si>
    <t xml:space="preserve">glyc3p[c]</t>
  </si>
  <si>
    <t xml:space="preserve">sn-Glycerol_3-phosphate</t>
  </si>
  <si>
    <t xml:space="preserve">C3H7O6P</t>
  </si>
  <si>
    <t xml:space="preserve">InChI=1/C3H9O6P/c4-1-3(5)2-9-10(6,7)8/h3-5H,1-2H2,(H2,6,7,8)/p-2/t3-/s2
AuxInfo=1/1/N:10,9,8,4,3,5,6,7,2,1/E:(6,7,8)/rA:17POOOO-O-OC.eCCHHHHHHH/rB:s1;;;s1;s1;d1;s3;s2s8;s4s8;s8;s9;s9;s10;s10;s3;s4;/rC:5.241,-.7269,0;6.575,.0431,0;9.2424,1.5833,0;11.9101,.0431,0;3.9073,-1.4971,0;4.471,.6069,0;6.011,-2.0608,0;9.2424,.0431,0;7.9087,-.7269,0;10.5763,-.7269,0;10.0695,.5206,0;7.2949,-1.4584,0;8.5223,-1.4584,0;9.9624,-1.4584,0;11.1901,-1.4584,0;10.0695,2.0608,0;12.737,-.4344,0;
</t>
  </si>
  <si>
    <t xml:space="preserve">C00093</t>
  </si>
  <si>
    <t xml:space="preserve">glyc[c]</t>
  </si>
  <si>
    <t xml:space="preserve">Glycerol</t>
  </si>
  <si>
    <t xml:space="preserve">C3H8O3</t>
  </si>
  <si>
    <t xml:space="preserve">InChI=1S/C3H8O3/c4-1-3(6)2-5/h3-6H,1-2H2
AuxInfo=1/0/N:5,6,4,2,3,1/E:(1,2)(4,5)/rA:14OOOCCCHHHHHHHH/rB:;;s1;s2s4;s3s4;s4;s5;s5;s6;s6;s1;s2;s3;/rC:6.5744,-.9163,0;9.2417,.6237,0;3.9069,.6237,0;6.5744,.6237,0;7.9081,1.3937,0;5.2407,1.3937,0;7.4013,.1463,0;8.5217,2.1252,0;7.2944,2.1252,0;5.8544,2.1252,0;4.6269,2.1252,0;5.7475,-1.3937,0;10.0688,1.1011,0;3.08,1.1011,0;
</t>
  </si>
  <si>
    <t xml:space="preserve">C00116</t>
  </si>
  <si>
    <t xml:space="preserve">glyclt[c]</t>
  </si>
  <si>
    <t xml:space="preserve">Glycolate</t>
  </si>
  <si>
    <t xml:space="preserve">C2H3O3</t>
  </si>
  <si>
    <t xml:space="preserve">InChI=1S/C2H4O3/c3-1-2(4)5/h3H,1H2,(H,4,5)/p-1
AuxInfo=1/1/N:4,5,1,2,3/E:(4,5)/rA:8OO-OCCHHH/rB:;;s1;s2d3s4;s4;s4;s1;/rC:7.9081,.3851,0;3.9069,1.1551,0;5.2407,-1.1551,0;6.5744,1.1551,0;5.2407,.3851,0;7.1882,1.8865,0;5.9606,1.8865,0;8.7351,.8624,0;
</t>
  </si>
  <si>
    <t xml:space="preserve">C00160</t>
  </si>
  <si>
    <t xml:space="preserve">glycogen[c]</t>
  </si>
  <si>
    <t xml:space="preserve">Glycogen</t>
  </si>
  <si>
    <t xml:space="preserve">C6H12O5</t>
  </si>
  <si>
    <t xml:space="preserve">InChI=1/C6H12O5/c7-1-4-6(10)5(9)3(8)2-11-4/h3-10H,1-2H2
AuxInfo=1/0/N:5,9,6,2,3,1,10,8,7,11,4/rA:11CCCOCCOOCOO/rB:s1;s1;s2;s2;s3;s3;s6;s4s6;s5;s1;/rC:-1.1239,-12.8856,0;.2169,-12.1206,0;-2.4382,-12.119,0;.2119,-10.5829,0;1.6479,-12.7348,0;-2.4298,-10.5849,0;-3.8485,-12.7129,0;-3.9301,-10.2646,0;-1.0954,-9.8118,0;3.1339,-12.398,0;-2.2264,-14.0941,0;
</t>
  </si>
  <si>
    <t xml:space="preserve">C00182</t>
  </si>
  <si>
    <t xml:space="preserve">glycogendeb[c]</t>
  </si>
  <si>
    <t xml:space="preserve">Glycogen_debranched</t>
  </si>
  <si>
    <t xml:space="preserve">C6H10O5</t>
  </si>
  <si>
    <t xml:space="preserve">gmhep17bp[c]</t>
  </si>
  <si>
    <t xml:space="preserve">D-glycero-D-manno-Heptose_1,7-bisphosphate</t>
  </si>
  <si>
    <t xml:space="preserve">C7H12O13P2</t>
  </si>
  <si>
    <t xml:space="preserve">InChI=1/C7H16O13P2/c8-2(1-18-21(12,13)14)6-4(10)3(9)5(11)7(19-6)20-22(15,16)17/h2-11H,1H2,(H2,12,13,14)(H2,15,16,17)/p-4/t2-,3+,4+,5+,6-,7?/s2
AuxInfo=1/1/N:22,21,18,17,19,16,20,8,5,4,7,13,14,15,10,11,12,9,3,6,2,1/E:(12,13,14)(15,16,17)/rA:34PPOOOOOOOO-O-OO-O-OC.eC.oC.eC.eCC.eCHHHHHHHHHHHH/rB:;;;;s1;;;s2;s1;s1;d1;s2;s2;d2;s3;s4s16;s5s17;s7s18;s3s6s19;s8s16;s9s21;s16;s17;s18;s19;s20;s21;s22;s22;s4;s5;s7;s8;/rC:5.0975,1.1551,0;11.766,3.4651,0;7.7648,-.3851,0;10.4324,-3.4651,0;7.7648,-5.0051,0;5.0975,-.3851,0;5.0975,-3.4651,0;11.766,-1.1551,0;11.766,1.9251,0;5.0975,2.6951,0;3.5575,1.1551,0;6.6375,1.1551,0;11.766,5.0051,0;13.306,3.4651,0;10.226,3.4651,0;9.0987,-1.1551,0;9.0987,-2.6951,0;7.7648,-3.4651,0;6.4312,-2.6951,0;6.4312,-1.1551,0;10.4324,-.3851,0;10.4324,1.1551,0;9.0987,.154,0;9.0987,-3.6499,0;8.5919,-3.9424,0;6.4312,-3.6499,0;6.4312,.154,0;10.4324,-1.3399,0;10.1058,2.0522,0;9.492,.9891,0;10.4324,-4.4199,0;6.938,-5.4826,0;4.2707,-2.9876,0;12.5931,-.6776,0;
</t>
  </si>
  <si>
    <t xml:space="preserve">C11472</t>
  </si>
  <si>
    <t xml:space="preserve">gmhep1p[c]</t>
  </si>
  <si>
    <t xml:space="preserve">D-glycero-D-manno-Heptose_1-phosphate</t>
  </si>
  <si>
    <t xml:space="preserve">C7H13O10P</t>
  </si>
  <si>
    <t xml:space="preserve">InChI=1/C7H15O10P/c8-1-2(9)6-4(11)3(10)5(12)7(16-6)17-18(13,14)15/h2-12H,1H2,(H2,13,14,15)/p-2/t2-,3+,4+,5+,6-,7-/s2
AuxInfo=1/1/N:18,17,14,13,15,12,16,8,7,4,3,6,9,10,11,2,5,1/E:(13,14,15)/rA:31POOOOOOOO-O-OC.eC.oC.eC.eC.oC.eCHHHHHHHHHHHHH/rB:;;;s1;;;;s1;s1;d1;s2;s3s12;s4s13;s6s14;s2s5s15;s7s12;s8s17;s12;s13;s14;s15;s16;s17;s18;s18;s3;s4;s6;s7;s8;/rC:5.0975,2.31,0;7.7648,.77,0;10.4324,-2.31,0;7.7648,-3.85,0;5.0975,.77,0;5.0975,-2.31,0;11.766,0,0;11.766,3.08,0;5.0975,3.85,0;3.5575,2.31,0;6.6375,2.31,0;9.0987,0,0;9.0987,-1.54,0;7.7648,-2.31,0;6.4312,-1.54,0;6.4312,0,0;10.4324,.77,0;10.4324,2.31,0;9.0987,1.3091,0;9.0987,-2.4948,0;8.5919,-2.7875,0;6.4312,-2.4948,0;6.4312,.9548,0;10.4324,-.1848,0;10.1058,3.2073,0;9.492,2.1442,0;10.4324,-3.2648,0;6.938,-4.3275,0;4.2707,-1.8327,0;12.5931,.4775,0;11.766,4.0348,0;
</t>
  </si>
  <si>
    <t xml:space="preserve">C07838</t>
  </si>
  <si>
    <t xml:space="preserve">gmhep7p[c]</t>
  </si>
  <si>
    <t xml:space="preserve">D-glycero-D-manno-Heptose_7-phosphate</t>
  </si>
  <si>
    <t xml:space="preserve">InChI=1/C7H15O10P/c8-2(1-16-18(13,14)15)6-4(10)3(9)5(11)7(12)17-6/h2-12H,1H2,(H2,13,14,15)/p-2/t2-,3+,4+,5+,6-,7?/s2
AuxInfo=1/1/N:18,16,14,13,15,12,17,6,4,3,5,7,9,10,11,8,2,1/E:(13,14,15)/rA:31POOOOOOOO-O-OC.eC.oC.eC.eC.eCCHHHHHHHHHHHHH/rB:;;;;;;s1;s1;s1;d1;s2;s3s12;s4s13;s5s14;s6s12;s2s7s15;s8s16;s12;s13;s14;s15;s16;s17;s18;s18;s3;s4;s5;s6;s7;/rC:10.5756,3.4651,0;6.5744,-.3851,0;9.2417,-3.4651,0;6.5744,-5.0051,0;3.9069,-3.4651,0;10.5756,-1.1551,0;3.9069,-.3851,0;10.5756,1.9251,0;10.5756,5.0051,0;12.1156,3.4651,0;9.0356,3.4651,0;7.9081,-1.1551,0;7.9081,-2.6951,0;6.5744,-3.4651,0;5.2407,-2.6951,0;9.2417,-.3851,0;5.2407,-1.1551,0;9.2417,1.1551,0;7.9081,.154,0;7.9081,-3.6499,0;7.4013,-3.9424,0;5.2407,-3.6499,0;10.0688,.0924,0;5.2407,-.2003,0;8.9152,2.0522,0;8.3016,.9891,0;9.2417,-4.4199,0;5.7475,-5.4826,0;3.08,-2.9876,0;11.4023,-.6776,0;3.9069,.5699,0;
</t>
  </si>
  <si>
    <t xml:space="preserve">C07836</t>
  </si>
  <si>
    <t xml:space="preserve">gmp[c]</t>
  </si>
  <si>
    <t xml:space="preserve">GMP</t>
  </si>
  <si>
    <t xml:space="preserve">C10H12N5O8P</t>
  </si>
  <si>
    <t xml:space="preserve">InChI=1/C10H14N5O8P/c11-10-13-7-4(8(18)14-10)12-2-15(7)9-6(17)5(16)3(23-9)1-22-24(19,20)21/h2-3,5-6,9,16-17H,1H2,(H2,19,20,21)(H3,11,13,14,18)/p-1/t3-,5-,6-,9-/s2
AuxInfo=1/1/N:19,21,18,22,17,15,20,23,16,24,14,12,11,13,10,4,3,8,6,7,9,5,2,1/E:(19,20,21)/rA:36POOOOO-O-OONNNN+NC.eC.eC.eC.eCCCCCCHHHHHHHHHHHH/rB:;;;s1;s1;s1;;d1;;;;;;s3;s2s10s15;s4s15;s2s17;s5s18;s10s11;s10d-12;s12d-20;d8s13s22;s11d-13s14;s15;s16;s17;s18;s19;s19;s3;s4;s21;s11;s14;s14;/rC:15.2126,3.7494,0;11.3092,1.0321,0;7.4006,1.809,0;9.3746,4.516,0;13.9651,2.8463,0;16.4603,4.6525,0;16.1157,2.5019,0;6.5744,-5.2244,0;14.3095,4.9969,0;9.3653,-.9051,0;6.5744,-.6044,0;9.3653,-3.3837,0;5.2407,-2.9144,0;3.9069,-.6044,0;8.9406,1.8062,0;9.8437,.5587,0;9.848,3.0505,0;11.3118,2.5721,0;12.5593,3.4752,0;7.9081,-1.3744,0;10.2641,-2.1444,0;7.9081,-2.9144,0;6.5744,-3.6846,0;5.2407,-1.3744,0;8.5086,2.6576,0;8.9005,.411,0;8.9053,3.2015,0;12.1619,2.1371,0;13.0947,4.2659,0;11.8737,4.1395,0;6.9246,2.6365,0;10.0149,5.2244,0;11.2189,-2.1444,0;6.5744,.3504,0;3.08,-1.0819,0;3.9069,.3504,0;
</t>
  </si>
  <si>
    <t xml:space="preserve">C00144</t>
  </si>
  <si>
    <t xml:space="preserve">grdp[c]</t>
  </si>
  <si>
    <t xml:space="preserve">Geranyl_diphosphate</t>
  </si>
  <si>
    <t xml:space="preserve">C10H17O7P2</t>
  </si>
  <si>
    <t xml:space="preserve">InChI=1S/C10H20O7P2/c1-9(2)5-4-6-10(3)7-8-16-19(14,15)17-18(11,12)13/h5,7H,4,6,8H2,1-3H3,(H,14,15)(H2,11,12,13)/p-2/b10-7+
AuxInfo=1/1/N:18,19,15,11,13,10,14,17,16,12,7,8,9,5,6,3,4,2,1/E:(1,2)(11,12,13)(14,15)/rA:37PPOOO-OO-OOCCCCCCCCCCHHHHHHHHHHHHHHHHHH/rB:;s1;s1s2;s1;d1;s2;s2;d2;;s10;s10;s11;d+12;s12;d+13;s3s14;s16;s16;s10;s10;s11;s11;s13;s14;s15;s15;s15;s17;s17;s18;s18;s18;s19;s19;s19;s8;/rC:15.0834,-.2178,0;17.7509,-.2178,0;13.7497,-.9878,0;16.4171,.5522,0;14.3134,1.1157,0;15.8534,-1.5516,0;19.0846,-.9878,0;18.5209,1.1157,0;16.9809,-1.5516,0;8.4149,-.9878,0;7.0812,-.2178,0;9.7485,-.2178,0;5.7475,-.9878,0;11.0824,-.9878,0;9.7485,1.3222,0;4.4137,-.2178,0;12.4161,-.2178,0;3.08,-.9878,0;4.4137,1.3222,0;7.8012,-1.7194,0;9.0287,-1.7194,0;7.695,.5135,0;6.4674,.5135,0;5.7475,-1.9428,0;11.0824,-1.9428,0;10.7035,1.3222,0;9.7485,2.277,0;8.7937,1.3222,0;13.0297,.5135,0;11.8022,.5135,0;2.6027,-.1609,0;2.2533,-1.4653,0;3.5575,-1.8148,0;5.3685,1.3222,0;4.4137,2.277,0;3.4589,1.3222,0;18.0436,1.9428,0;
</t>
  </si>
  <si>
    <t xml:space="preserve">C00341</t>
  </si>
  <si>
    <t xml:space="preserve">gsn[c]</t>
  </si>
  <si>
    <t xml:space="preserve">Guanosine</t>
  </si>
  <si>
    <t xml:space="preserve">C10H13N5O5</t>
  </si>
  <si>
    <t xml:space="preserve">InChI=1/C10H13N5O5/c11-10-13-7-4(8(19)14-10)12-2-15(7)9-6(18)5(17)3(1-16)20-9/h2-3,5-6,9,16-18H,1H2,(H3,11,13,14,19)/p+1/t3-,5-,6-,9-/s2
AuxInfo=1/1/N:15,17,14,18,13,12,16,19,11,20,10,8,7,9,6,4,3,2,5,1/rA:33OOOOONNNN+NC.eC.eC.eC.eCCCCCCHHHHHHHHHHHHH/rB:;;;;;;;;;s1s6;s2s11;s3s12;s1s13;s4s14;s6s7;s6d-8;s8d-16;d5s9s18;s7d-9s10;s11;s12;s13;s14;s15;s15;s2;s17;s3;s7;s4;s10;s10;/rC:11.3094,1.0321,0;7.4008,1.809,0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8.5088,2.6578,0;8.9053,3.2017,0;12.1621,2.1371,0;13.0949,4.2659,0;11.8739,4.1397,0;6.9248,2.6367,0;11.219,-2.1444,0;10.015,5.2244,0;6.5746,.3504,0;14.7388,3.4063,0;3.0802,-1.0819,0;3.9069,.3504,0;
</t>
  </si>
  <si>
    <t xml:space="preserve">C00387</t>
  </si>
  <si>
    <t xml:space="preserve">gthrd[c]</t>
  </si>
  <si>
    <t xml:space="preserve">Glutathione</t>
  </si>
  <si>
    <t xml:space="preserve">C10H16N3O6S</t>
  </si>
  <si>
    <t xml:space="preserve">InChI=1/C10H17N3O6S/c11-5(10(18)19)1-2-7(14)13-6(4-20)9(17)12-3-8(15)16/h5-6,20H,1-4,11H2,(H,12,17)(H,13,14)(H,15,16)(H,18,19)/p-1/t5-,6-/s2
AuxInfo=1/1/N:11,12,19,16,14,13,15,20,17,18,9,10,8,2,6,7,3,4,5,1/E:(15,16)(18,19)/rA:20SOOO-OO-ONN+NCCC.oC.oCCCCCC/rB:;;;;;;;;;;s11;s8;s9s11;d2s8s12;s1s13;d3s10s13;s4d5s14;s10;s6d7s19;/rC:11.9091,-2.0713,0;10.5756,-1.3013,0;14.5766,2.5487,0;3.9069,1.0087,0;5.2407,-1.3013,0;19.9114,1.0087,0;18.5778,-1.3013,0;11.9091,1.0087,0;6.5744,2.5487,0;15.9103,.2387,0;7.9081,.2387,0;9.2417,1.0087,0;13.2429,.2387,0;6.5744,1.0087,0;10.5756,.2387,0;13.2429,-1.3013,0;14.5766,1.0087,0;5.2407,.2387,0;17.2441,1.0087,0;18.5778,.2387,0;
</t>
  </si>
  <si>
    <t xml:space="preserve">C00051</t>
  </si>
  <si>
    <t xml:space="preserve">gtp[c]</t>
  </si>
  <si>
    <t xml:space="preserve">GTP</t>
  </si>
  <si>
    <t xml:space="preserve">C10H12N5O14P3</t>
  </si>
  <si>
    <t xml:space="preserve">InChI=1/C10H16N5O14P3/c11-10-13-7-4(8(18)14-10)12-2-15(7)9-6(17)5(16)3(27-9)1-26-31(22,23)29-32(24,25)28-30(19,20)21/h2-3,5-6,9,16-17H,1H2,(H,22,23)(H,24,25)(H2,19,20,21)(H3,11,13,14,18)/p-4/t3-,5-,6-,9-/s2
AuxInfo=1/1/N:27,29,26,30,24,23,28,31,25,32,22,20,19,21,18,6,5,11,15,16,17,9,10,13,14,7,4,12,8,3,1,2/E:(19,20,21)(22,23)(24,25)/rA:32PPPOOOOOO-OOOO-OO-O-ONNNNNC.eC.oC.oC.oCCCCCC/rB:;;;;;s1;s1s2;s1;d1;;s2s3;s2;d2;s3;s3;d3;;;;;;s5;s6s23;s4s18s23;s4s24;s7s26;s18s19;s18d-20;s20d-28;d11s21s30;s19d-21s22;/rC:15.2126,3.2603,0;17.8659,3.5343,0;20.5191,3.8086,0;11.3092,.5428,0;7.4006,1.3197,0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</si>
  <si>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C00044</t>
  </si>
  <si>
    <t xml:space="preserve">gua[c]</t>
  </si>
  <si>
    <t xml:space="preserve">Guanine</t>
  </si>
  <si>
    <t xml:space="preserve">C5H5N5O</t>
  </si>
  <si>
    <t xml:space="preserve">InChI=1S/C5H5N5O/c6-5-9-3-2(4(11)10-5)7-1-8-3/h1H,(H4,6,7,8,9,10,11)
AuxInfo=1/1/N:11,7,8,9,10,6,3,4,2,5,1/rA:16ONNNNNCCCCCHHHHH/rB:;;;;;s3;s2s4d+7;d1s5s7;s2d-5s6;s3d-4;s2;s3;s11;s6;s6;/rC:6.5744,2.7875,0;6.5744,-1.8327,0;9.3653,.9466,0;9.3653,-1.5318,0;5.2407,.4775,0;3.9069,-1.8327,0;7.9081,.4775,0;7.9081,-1.0627,0;6.5744,1.2475,0;5.2407,-1.0627,0;10.2641,-.2927,0;6.5744,-2.7875,0;9.6619,1.8542,0;11.2189,-.2927,0;3.08,-1.3552,0;3.9069,-2.7875,0;
</t>
  </si>
  <si>
    <t xml:space="preserve">C00242</t>
  </si>
  <si>
    <t xml:space="preserve">h2[c]</t>
  </si>
  <si>
    <t xml:space="preserve">H2</t>
  </si>
  <si>
    <t xml:space="preserve">InChI=1S/H2/h1H
AuxInfo=1/0/N:1/rA:2HH/rB:s1;/rC:2,0,0;3,0,0;
</t>
  </si>
  <si>
    <t xml:space="preserve">C00282</t>
  </si>
  <si>
    <t xml:space="preserve">h2[e]</t>
  </si>
  <si>
    <t xml:space="preserve">h2[p]</t>
  </si>
  <si>
    <t xml:space="preserve">h2co3[e]</t>
  </si>
  <si>
    <t xml:space="preserve">H2CO3</t>
  </si>
  <si>
    <t xml:space="preserve">CH2O3</t>
  </si>
  <si>
    <t xml:space="preserve">InChI=1S/CH2O3/c2-1(3)4/h(H2,2,3,4)/p-1
AuxInfo=1/1/N:2,1,3,4/E:(2,3,4)/rA:4OCOO-/rB:s1;d2;s2;/rC:2.31,1.3337,0;1.54,0,0;2.31,-1.3337,0;;
</t>
  </si>
  <si>
    <t xml:space="preserve">h2co3[p]</t>
  </si>
  <si>
    <t xml:space="preserve">h2mb4p[c]</t>
  </si>
  <si>
    <t xml:space="preserve">1-Hydroxy-2-methyl-2-butenyl_4-diphosphate</t>
  </si>
  <si>
    <t xml:space="preserve">C5H9O8P2</t>
  </si>
  <si>
    <t xml:space="preserve">InChI=1S/C5H12O8P2/c1-5(4-6)2-3-12-15(10,11)13-14(7,8)9/h2,6H,3-4H2,1H3,(H,10,11)(H2,7,8,9)/p-2/b5-2+
AuxInfo=1/1/N:15,13,11,14,12,6,8,9,10,5,7,3,4,2,1/E:(7,8,9)(10,11)/rA:25PPOOO-OOO-OOCCCCCHHHHHHHHHH/rB:;s1;s1s2;s1;;d1;s2;s2;d2;s3;;s11d+12;s6s12;s12;s11;s11;s13;s14;s14;s15;s15;s15;s6;s9;/rC:11.9091,-.2178,0;14.5766,-.2178,0;10.5756,-.9878,0;13.2429,.5522,0;11.1391,1.1157,0;3.9069,-.2178,0;12.6793,-1.5516,0;15.9103,-.9878,0;15.3466,1.1157,0;13.8066,-1.5516,0;9.2417,-.2178,0;6.5744,-.2178,0;7.9081,-.9878,0;5.2407,-.9878,0;6.5744,1.3222,0;9.8556,.5135,0;8.6281,.5135,0;7.9081,-1.9428,0;4.6269,-1.7194,0;5.8544,-1.7194,0;7.5292,1.3222,0;6.5744,2.277,0;5.6196,1.3222,0;3.08,-.6953,0;14.8691,1.9428,0;
</t>
  </si>
  <si>
    <t xml:space="preserve">C11811</t>
  </si>
  <si>
    <t xml:space="preserve">h2o2[c]</t>
  </si>
  <si>
    <t xml:space="preserve">H2O2</t>
  </si>
  <si>
    <t xml:space="preserve">InChI=1S/H2O2/c1-2/h1-2H
AuxInfo=1/0/N:1,2/E:(1,2)/rA:4OOHH/rB:s1;s1;s2;/rC:6.3017,-.621,0;8.453,.621,0;4.9679,.149,0;9.7867,-.149,0;
</t>
  </si>
  <si>
    <t xml:space="preserve">C00027</t>
  </si>
  <si>
    <t xml:space="preserve">h2o[c]</t>
  </si>
  <si>
    <t xml:space="preserve">H2O</t>
  </si>
  <si>
    <t xml:space="preserve">InChI=1S/H2O/h1H2
AuxInfo=1/0/N:1/rA:1O/rB:/rC:6.3011,-.3849,0;
</t>
  </si>
  <si>
    <t xml:space="preserve">C00001</t>
  </si>
  <si>
    <t xml:space="preserve">h2o[e]</t>
  </si>
  <si>
    <t xml:space="preserve">h2o[p]</t>
  </si>
  <si>
    <t xml:space="preserve">h2s[c]</t>
  </si>
  <si>
    <t xml:space="preserve">H2S</t>
  </si>
  <si>
    <t xml:space="preserve">InChI=1S/H2S/h1H2/p-1
AuxInfo=1/1/N:1/rA:2S-H/rB:s1;/rC:6.3001,-.3849,0;7.6339,.3849,0;
</t>
  </si>
  <si>
    <t xml:space="preserve">C00283</t>
  </si>
  <si>
    <t xml:space="preserve">h2s[e]</t>
  </si>
  <si>
    <t xml:space="preserve">h2s[p]</t>
  </si>
  <si>
    <t xml:space="preserve">h[c]</t>
  </si>
  <si>
    <t xml:space="preserve">h</t>
  </si>
  <si>
    <t xml:space="preserve">H</t>
  </si>
  <si>
    <t xml:space="preserve">InChI=1S//
AuxInfo=1//
</t>
  </si>
  <si>
    <t xml:space="preserve">C00080</t>
  </si>
  <si>
    <t xml:space="preserve">h[e]</t>
  </si>
  <si>
    <t xml:space="preserve">h[p]</t>
  </si>
  <si>
    <t xml:space="preserve">hco3[c]</t>
  </si>
  <si>
    <t xml:space="preserve">HCO3</t>
  </si>
  <si>
    <t xml:space="preserve">CHO3</t>
  </si>
  <si>
    <t xml:space="preserve">InChI=1S/CH2O3/c2-1(3)4/h(H2,2,3,4)/p-1
AuxInfo=1/1/N:4,1,2,3/E:(2,3,4)/rA:5OO-OCH/rB:;;s1s2d3;s1;/rC:5.7475,1.1551,0;3.08,1.1551,0;4.4137,-1.1551,0;4.4137,.3851,0;6.5744,.6776,0;
</t>
  </si>
  <si>
    <t xml:space="preserve">C00288</t>
  </si>
  <si>
    <t xml:space="preserve">hcys-L[c]</t>
  </si>
  <si>
    <t xml:space="preserve">L-Homocysteine</t>
  </si>
  <si>
    <t xml:space="preserve">C4H9NO2S</t>
  </si>
  <si>
    <t xml:space="preserve">InChI=1/C4H9NO2S/c5-3(1-2-8)4(6)7/h3,8H,1-2,5H2,(H,6,7)/t3-/s2
AuxInfo=1/1/N:6,7,5,8,4,2,3,1/E:(6,7)/rA:16S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</si>
  <si>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C00155</t>
  </si>
  <si>
    <t xml:space="preserve">hemeO[c]</t>
  </si>
  <si>
    <t xml:space="preserve">Heme_O</t>
  </si>
  <si>
    <t xml:space="preserve">C49H56FeN4O5</t>
  </si>
  <si>
    <t xml:space="preserve">InChI=1S/C49H60N4O5/c1-10-35-31(6)40-26-45-49(46(54)19-13-18-30(5)17-12-16-29(4)15-11-14-28(2)3)34(9)41(53-45)24-38-32(7)36(20-22-47(55)56)43(51-38)27-44-37(21-23-48(57)58)33(8)39(52-44)25-42(35)50-40/h10,14,16,18,24-27,46,52-54H,1,11-13,15,17,19-23H2,2-9H3,(H,55,56)(H,57,58)/p-2/b29-16+,30-18+,38-24-,39-25-,40-26-,41-24-,42-25-,43-27-,44-27-,45-26-
AuxInfo=1/1/N:42,57,58,53,48,36,34,35,33,37,54,49,41,55,52,50,47,45,38,31,32,39,40,20,25,21,19,56,51,46,28,26,27,24,29,22,23,14,15,16,12,17,11,13,10,30,43,44,18,9,7,8,6,1,2,3,4,5/E:(2,3)(55,56)(57,58)/rA:114OO-OO-ONNNNCCCCCCCCCCCCCCCCCCCCCCCCCCCCCCCCCCCCCCCCCCCCCCCCCHHHHHHHHHHHHHHHHHHHHHHHHHHHHHHHHHHHHHHHHHHHHHHHHHHHHHHHH/rB:;;;;;;;;s6;d+7;s6;s8;s7;s8;s9;d+9;d-10;s11d-13;s12d-14;s10d-16;s11;s13;d-12s18;d-15s17;s14d-22;s15d-23;s16;s17d-28;s1s18;s22;s23;s24;s26;s27;s28;s29;s30;s31;s32;s38;d-37;s2d3s39;s4d5s40;s41;d+45;s46;s46;s47;s49;d+50;s51;s51;s52;s54;d+55;s56;s56;s19;s20;s21;s25;s30;s31;s31;s32;s32;s33;s33;s33;s34;s34;s34;s35;s35;s35;s36;s36;s36;s37;s38;s38;s39;s39;s40;s40;s1;s41;s41;s42;s42;s45;s47;s47;s48;s48;s48;s49;s49;s50;s52;s52;s53;s53;s53;s54;s54;s55;s57;s57;s57;s58;s58;s58;/rC:21.4038,-4.7222,0;28.3012,8.642,0;30.5706,7.0445,0;37.2171,.1123,0;35.5362,2.3209,0;24.8093,-1.4019,0;27.043,.6791,0;29.3757,-1.4019,0;27.0938,-3.4829,0;23.9469,-2.5696,0;28.3124,1.694,0;23.9469,-.2343,0;30.2381,-.1835,0;25.8242,1.6432,0;30.2891,-2.5188,0;25.8752,-4.447,0;28.3124,-4.3963,0;22.4766,-2.1626,0;29.7827,1.2361,0;24.3541,1.2361,0;24.4048,-3.9891,0;27.8036,3.1136,0;31.711,-.5905,0;22.4766,-.6414,0;29.8337,-3.9891,0;26.2823,3.1136,0;31.711,-2.1116,0;26.3331,-5.8666,0;27.8544,-5.8666,0;21.2012,-3.1328,0;28.726,4.4238,0;32.986,.3799,0;21.2012,.3288,0;25.3325,4.4041,0;32.9905,-3.0762,0;25.39,-7.1619,0;28.6558,-7.2544,0;19.7234,-2.5135,0;28.0523,5.8778,0;34.464,-.2391,0;18.4482,-3.4835,0;27.8546,-8.642,0;28.9746,7.1881,0;35.739,.7313,0;16.9703,-2.8642,0;15.695,-3.8345,0;14.2172,-3.2151,0;15.8976,-5.424,0;12.942,-4.1854,0;11.4641,-3.5661,0;10.1888,-4.5361,0;8.7109,-3.9168,0;10.3913,-6.1257,0;7.4356,-4.8871,0;5.9579,-4.2677,0;4.6826,-5.238,0;3.2047,-4.6187,0;4.8851,-6.8274,0;30.4821,1.9416,0;23.6516,1.9385,0;23.7059,-4.6951,0;30.5224,-4.7052,0;20.4106,-3.7343,0;29.4267,3.7196,0;29.5411,4.9917,0;33.5231,1.2157,0;32.2563,1.054,0;21.8028,1.1194,0;20.4106,.9303,0;20.5997,-.4618,0;26.1327,4.993,0;24.7438,5.2043,0;24.5324,3.8152,0;32.3923,-3.8696,0;33.7837,-3.6744,0;33.5885,-2.2831,0;24.5869,-6.5772,0;24.8053,-7.9652,0;26.1931,-7.7468,0;29.6492,-7.2542,0;20.2606,-1.6777,0;18.9938,-1.8392,0;27.3516,6.582,0;27.2372,5.3099,0;33.9269,-1.0749,0;35.1937,-.9132,0;20.6132,-5.3237,0;17.9109,-4.3193,0;19.1778,-4.1578,0;26.8611,-8.642,0;28.3513,-9.5024,0;16.8447,-1.8788,0;14.7544,-2.3795,0;13.4874,-2.5409,0;14.9121,-5.5496,0;16.0232,-6.4095,0;16.883,-5.2984,0;12.4047,-5.021,0;13.6716,-4.8595,0;11.3385,-2.5805,0;9.2482,-3.0812,0;7.9812,-3.2427,0;9.4059,-6.2513,0;10.517,-7.1111,0;11.3768,-6.0001,0;6.8985,-5.7227,0;8.1653,-5.5612,0;5.8323,-3.2823,0;3.5887,-3.7023,0;2.2885,-4.2346,0;2.8208,-5.5349,0;3.8997,-6.953,0;5.0108,-7.813,0;5.8706,-6.7017,0;
</t>
  </si>
  <si>
    <t xml:space="preserve">C15672</t>
  </si>
  <si>
    <t xml:space="preserve">hexACP[c]</t>
  </si>
  <si>
    <t xml:space="preserve">Hexanoyl-ACP</t>
  </si>
  <si>
    <t xml:space="preserve">C17H31N2O8PRS</t>
  </si>
  <si>
    <t xml:space="preserve">C05749</t>
  </si>
  <si>
    <t xml:space="preserve">his-L[c]</t>
  </si>
  <si>
    <t xml:space="preserve">L-Histidine</t>
  </si>
  <si>
    <t xml:space="preserve">C6H9N3O2</t>
  </si>
  <si>
    <t xml:space="preserve">InChI=1/C6H9N3O2/c7-5(6(10)11)1-4-2-8-3-9-4/h2-3,5H,1,7H2,(H,8,9)(H,10,11)/t5-/s2
AuxInfo=1/1/N:6,10,11,8,7,9,4,5,3,1,2/E:(10,11)/rA:11O-ONN+NCC.oCCCC/rB:;;;;;s4s6;s3s6;s1d2s7;s5d-8;s3d-5;/rC:10.7899,.6894,0;9.9658,-1.8476,0;4.3258,-1.3251,0;7.8607,1.641,0;3.5558,1.0448,0;7.0364,-.8958,0;8.1809,.1346,0;5.5718,-.42,0;9.6454,-.3412,0;5.0958,1.0448,0;3.08,-.42,0;
</t>
  </si>
  <si>
    <t xml:space="preserve">C00135</t>
  </si>
  <si>
    <t xml:space="preserve">hisp[c]</t>
  </si>
  <si>
    <t xml:space="preserve">L-Histidinol_phosphate</t>
  </si>
  <si>
    <t xml:space="preserve">C6H11N3O4P</t>
  </si>
  <si>
    <t xml:space="preserve">InChI=1/C6H12N3O4P/c7-5(3-13-14(10,11)12)1-6-2-8-4-9-6/h2,4-5H,1,3,7H2,(H,8,9)(H2,10,11,12)/t5-/s2
AuxInfo=1/1/N:10,13,11,14,9,12,6,8,7,3,4,5,2,1/E:(10,11,12)/rA:24POO-O-ON+NN+C.eCCCCCHHHHHHHHHH/rB:s1;s1;s1;d1;;;;s6;s9;s2s9;s7s10;s8d-12;s7d-8;s9;s10;s10;s11;s11;s6;s6;s7;s13;s14;/rC:12.2552,.1596,0;10.7905,.6354,0;13.72,-.3164,0;12.731,1.6242,0;11.7794,-1.3052,0;7.8611,1.5872,0;4.326,-1.3789,0;3.556,.9908,0;8.1812,.0808,0;7.0368,-.9496,0;9.646,-.395,0;5.572,-.4738,0;5.0962,.9908,0;3.0802,-.4738,0;7.2733,.3759,0;6.5884,-1.7927,0;7.7892,-1.5374,0;9.1976,-1.2382,0;10.3985,-.9828,0;8.5708,2.2262,0;6.953,1.8823,0;4.326,-2.3339,0;5.6573,1.7634,0;2.1721,-.7689,0;
</t>
  </si>
  <si>
    <t xml:space="preserve">C01100</t>
  </si>
  <si>
    <t xml:space="preserve">hist-L[c]</t>
  </si>
  <si>
    <t xml:space="preserve">L-Histidinal</t>
  </si>
  <si>
    <t xml:space="preserve">C6H10N3O</t>
  </si>
  <si>
    <t xml:space="preserve">InChI=1S/C6H9N3O/c7-5(3-10)1-6-2-8-4-9-6/h2-5H,1,7H2,(H,8,9)/p+1/t5-/m0/s1
AuxInfo=1/1/N:3,5,9,7,2,4,1,6,8,10/it:im/rA:10N+C.oCCCNCNCO/rB:s1;s2;s3;d+4;s5;d-6;s4s7;s2;d9;/rC:-1.6076,3.62,0;-.2738,4.39,0;1.0599,3.62,0;1.0599,2.08,0;2.3057,1.1749,0;1.8299,-.2899,0;.2899,-.2899,0;-.1861,1.1749,0;-.2738,5.93,0;-1.6076,6.7,0;
</t>
  </si>
  <si>
    <t xml:space="preserve">C01929</t>
  </si>
  <si>
    <t xml:space="preserve">histd[c]</t>
  </si>
  <si>
    <t xml:space="preserve">L-Histidinol</t>
  </si>
  <si>
    <t xml:space="preserve">C6H12N3O</t>
  </si>
  <si>
    <t xml:space="preserve">InChI=1/C6H11N3O/c7-5(3-10)1-6-2-8-4-9-6/h2,4-5,10H,1,3,7H2,(H,8,9)/p+2/t5-/s2
AuxInfo=1/1/N:6,9,8,10,5,7,2,4,3,1/rA:21ON+NN+C.eCCCCCHHHHHHHHHHH/rB:;;;s2;s5;s3s6;s1s5;s4d-7;s3d-4;s5;s6;s6;s8;s8;s2;s2;s3;s9;s10;s1;/rC:9.0055,2.0089,0;9.646,-1.0039,0;4.326,-1.988,0;3.556,.3819,0;8.1812,-.5281,0;7.0368,-1.5585,0;5.572,-1.0827,0;7.8611,.9783,0;5.0962,.3819,0;3.0802,-1.0827,0;8.3797,-1.4622,0;6.5884,-2.4018,0;7.7892,-2.1465,0;7.355,1.7881,0;6.9757,.6207,0;10.3555,-.3651,0;9.8444,-1.938,0;4.326,-2.9428,0;5.6573,1.1545,0;2.1721,-1.3778,0;8.8071,2.9428,0;
</t>
  </si>
  <si>
    <t xml:space="preserve">C00860</t>
  </si>
  <si>
    <t xml:space="preserve">hlipa_AFE[c]</t>
  </si>
  <si>
    <t xml:space="preserve">Heptosyl-(KDO)2-AFE</t>
  </si>
  <si>
    <t xml:space="preserve">hmbil[c]</t>
  </si>
  <si>
    <t xml:space="preserve">Hydroxymethylbilane</t>
  </si>
  <si>
    <t xml:space="preserve">C40H38N4O17</t>
  </si>
  <si>
    <t xml:space="preserve"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
AuxInfo=1/1/N:53,36,33,42,57,45,43,50,51,38,37,47,34,23,31,48,49,46,29,24,35,44,28,27,40,39,30,22,32,25,26,41,61,56,55,59,60,54,52,58,21,19,18,20,1,16,17,7,10,6,8,12,14,13,15,3,5,2,4,9,11/E:(46,47)(48,49)(50,51)(52,53)(54,55)(56,57)(58,59)(60,61)/rA:99OO-O-OOO-O-OO-OOO-O-OOO-ONNNNCCCCCCCCCCCCCCCCCCCCCCCCCCCCCCCCCCCCCCCCHHHHHHHHHHHHHHHHHHHHHHHHHHHHHHHHHHHHHH/rB:;;;;;;;;;;;;;;;;;;;;s18;s22;d-22;s19s23;s18;s24d-26;d-25;s28;s19d-29;s26;s20s31;s24;s30;d-32;s29;s27;s28;s21s34;s35;s20d-40;s35;s33;d-39;s36;s44;s40;s21d-46;s1s41;s42;s44;s2d4s37;s46;s3d5s38;s6d8s43;s7d10s45;s53;s9d11s47;s12d14s50;s13d15s51;s16d17s57;s23;s23;s31;s31;s18;s19;s33;s33;s34;s34;s36;s36;s37;s37;s38;s38;s20;s42;s42;s43;s43;s45;s45;s47;s47;s21;s48;s49;s49;s50;s50;s51;s51;s53;s53;s57;s57;s1;/rC:20.627,9.2435,0;15.6953,9.9122,0;15.9333,1.397,0;13.2586,8.8273,0;14.4418,-.8146,0;8.0976,8.1833,0;14.473,-4.205,0;10.2557,9.7513,0;23.8411,5.1931,0;11.8121,-4.3911,0;21.6832,3.6251,0;18.545,-.5223,0;3.6413,-4.1968,0;20.9817,.5624,0;5.7994,-5.7646,0;8.9374,-9.9122,0;6.5005,-8.8273,0;13.7411,3.6435,0;9.3035,1.9402,0;17.4352,6.6349,0;10.0471,-2.7548,0;12.4953,4.5489,0;11.0307,4.0729,0;12.9711,6.0135,0;10.7104,2.5665,0;14.9871,4.5489,0;14.5111,6.0135,0;11.741,1.422,0;10.971,.0883,0;9.4644,.4086,0;16.4517,4.0729,0;17.5961,5.1035,0;12.0659,7.2595,0;8.3201,-.622,0;19.1027,4.7831,0;11.5972,-1.3186,0;15.4164,7.2595,0;13.2726,1.5829,0;8.6402,-2.1284,0;19.8727,6.1169,0;18.8421,7.2613,0;19.729,3.3762,0;10.5343,7.0984,0;7.6098,-3.2728,0;12.9814,-1.9938,0;8.3798,-4.6066,0;21.4041,6.2778,0;9.8861,-4.2864,0;19.1625,8.7677,0;18.8237,2.1304,0;6.0781,-3.1117,0;14.79,8.6662,0;7.7534,-6.0135,0;14.5492,.7218,0;9.629,8.3442,0;13.0887,-3.5299,0;8.6585,-7.2595,0;22.3095,5.032,0;19.4503,.7235,0;5.1729,-4.3577,0;8.0323,-8.6662,0;10.8978,5.0183,0;10.0763,4.1063,0;16.0035,3.2297,0;17.2043,3.4851,0;13.7411,2.6887,0;8.4767,2.4175,0;12.9242,7.6778,0;11.8027,8.1771,0;7.8141,.1878,0;7.4347,-.9796,0;10.6503,-1.4403,0;11.4425,-2.2607,0;16.0797,6.5725,0;16.2079,7.7931,0;14.011,2.1883,0;12.9046,2.464,0;16.6085,7.1124,0;20.3922,2.6895,0;20.5205,3.9101,0;9.6762,6.6797,0;10.7975,6.1805,0;13.9311,-2.0935,0;13.2446,-1.0759,0;22.2624,6.6965,0;21.1411,7.1956,0;10.8741,-2.2773,0;10.5958,-4.9252,0;19.0295,9.7134,0;18.208,8.801,0;18.1606,2.8172,0;18.0322,1.5964,0;6.3413,-2.1941,0;5.2199,-2.6932,0;6.9617,-5.4794,0;7.09,-6.7002,0;9.4502,-7.7931,0;9.3218,-6.5725,0;20.8255,10.1776,0;
</t>
  </si>
  <si>
    <t xml:space="preserve">C01024</t>
  </si>
  <si>
    <t xml:space="preserve">hom-L[c]</t>
  </si>
  <si>
    <t xml:space="preserve">L-Homoserine</t>
  </si>
  <si>
    <t xml:space="preserve">C4H9NO3</t>
  </si>
  <si>
    <t xml:space="preserve">InChI=1/C4H9NO3/c5-3(1-2-6)4(7)8/h3,6H,1-2,5H2,(H,7,8)/t3-/s2
AuxInfo=1/1/N:6,7,5,8,4,1,2,3/E:(7,8)/rA:16O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</si>
  <si>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C00263</t>
  </si>
  <si>
    <t xml:space="preserve">hpdcaACP[c]</t>
  </si>
  <si>
    <t xml:space="preserve">Heptadecanoyl-ACP</t>
  </si>
  <si>
    <t xml:space="preserve">C28H53N2O8PRS</t>
  </si>
  <si>
    <t xml:space="preserve">hxan[c]</t>
  </si>
  <si>
    <t xml:space="preserve">Hypoxanthine</t>
  </si>
  <si>
    <t xml:space="preserve">C5H4N4O</t>
  </si>
  <si>
    <t xml:space="preserve">InChI=1S/C5H4N4O/c10-5-3-4(7-1-6-3)8-2-9-5/h1-2H,(H2,6,7,8,9,10)/p+1
AuxInfo=1/1/N:9,10,6,7,8,2,4,3,5,1/rA:14ONNNN+CCCCCHHHH/rB:;;;;s2;s3s4d+6;d1s5s6;s2d-4;s3d-5;s2;s3;s9;s10;/rC:4.4137,2.7875,0;7.2048,.9466,0;4.4137,-1.8327,0;7.2048,-1.5318,0;3.08,.4775,0;5.7475,.4775,0;5.7475,-1.0627,0;4.4137,1.2475,0;8.1036,-.2927,0;3.08,-1.0627,0;7.5014,1.8542,0;4.4137,-2.7875,0;9.0584,-.2927,0;2.2533,-1.54,0;
</t>
  </si>
  <si>
    <t xml:space="preserve">C00262</t>
  </si>
  <si>
    <t xml:space="preserve">iasp[c]</t>
  </si>
  <si>
    <t xml:space="preserve">Iminoaspartate</t>
  </si>
  <si>
    <t xml:space="preserve">C4H3NO4</t>
  </si>
  <si>
    <t xml:space="preserve">InChI=1S/C4H5NO4/c5-2(4(8)9)1-3(6)7/h5H,1H2,(H,6,7)(H,8,9)/p-1
AuxInfo=1/1/N:6,7,8,9,5,1,3,2,4/E:(6,7)(8,9)/rA:12O-O-OON+CCCCHHH/rB:;;;;;d-5s6;s1d3s6;s2d4s7;s6;s6;s5;/rC:3.9069,.6237,0;10.5756,-.1463,0;5.2407,-1.6863,0;9.2417,2.1638,0;7.9081,-1.6863,0;6.5744,.6237,0;7.9081,-.1463,0;5.2407,-.1463,0;9.2417,.6237,0;7.1882,1.355,0;5.9606,1.355,0;7.0812,-2.1638,0;
</t>
  </si>
  <si>
    <t xml:space="preserve">C05840</t>
  </si>
  <si>
    <t xml:space="preserve">icit[c]</t>
  </si>
  <si>
    <t xml:space="preserve">Isocitrate</t>
  </si>
  <si>
    <t xml:space="preserve">InChI=1/C6H8O7/c7-3(8)1-2(5(10)11)4(9)6(12)13/h2,4,9H,1H2,(H,7,8)(H,10,11)(H,12,13)/p-3
AuxInfo=1/1/N:10,8,13,9,11,12,5,7,1,2,4,3,6/E:(7,8)(10,11)(12,13)/rA:18OO-O-OO-OOCCCCCCHHHHH/rB:;;;;;;;s1s8;s8;s2d4s8;s3d6s9;s5d7s10;s8;s9;s10;s10;s1;/rC:7.9081,3.08,0;3.9069,.77,0;10.5756,1.54,0;5.2407,3.08,0;5.2407,-3.08,0;9.2417,-.77,0;3.9069,-.77,0;6.5744,.77,0;7.9081,1.54,0;6.5744,-.77,0;5.2407,1.54,0;9.2417,.77,0;5.2407,-1.54,0;6.5744,2.0791,0;9.0418,2.1946,0;6.9009,-1.6673,0;7.5148,-.6042,0;8.7351,3.5575,0;
</t>
  </si>
  <si>
    <t xml:space="preserve">C00311</t>
  </si>
  <si>
    <t xml:space="preserve">ile-L[c]</t>
  </si>
  <si>
    <t xml:space="preserve">L-Isoleucine</t>
  </si>
  <si>
    <t xml:space="preserve">C6H13NO2</t>
  </si>
  <si>
    <t xml:space="preserve">InChI=1/C6H13NO2/c1-3-4(2)5(7)6(8)9/h4-5H,3,7H2,1-2H3,(H,8,9)/t4-,5-/s2
AuxInfo=1/1/N:8,7,6,4,5,9,3,1,2/E:(8,9)/rA:9O-ON+C.eC.oCCCC/rB:;;;s3s4;s4;s4;s6;s1d2s5;/rC:3.9069,-.1463,0;5.2407,2.1638,0;6.5744,-1.6863,0;7.9081,.6237,0;6.5744,-.1463,0;9.2417,-.1463,0;7.9081,2.1638,0;10.5756,.6237,0;5.2407,.6237,0;
</t>
  </si>
  <si>
    <t xml:space="preserve">C00407</t>
  </si>
  <si>
    <t xml:space="preserve">imacp[c]</t>
  </si>
  <si>
    <t xml:space="preserve">3-Imidazol-4-yl-2-oxopropyl_phosphate</t>
  </si>
  <si>
    <t xml:space="preserve">C6H7N2O5P</t>
  </si>
  <si>
    <t xml:space="preserve">InChI=1S/C6H9N2O5P/c9-6(3-13-14(10,11)12)1-5-2-7-4-8-5/h2,4H,1,3H2,(H,7,8)(H2,10,11,12)/p-1
AuxInfo=1/1/N:9,13,12,14,10,11,8,7,3,4,5,6,2,1/E:(10,11,12)/rA:21POOO-O-ONN+CCCCCCHHHHHHH/rB:s1;;s1;s1;d1;;;;s7s9;d3s9;s2s11;s8d-10;s7d-8;s9;s9;s12;s12;s7;s13;s14;/rC:12.2552,.1596,0;10.7905,.6354,0;7.8611,1.5872,0;13.72,-.3164,0;12.731,1.6242,0;11.7794,-1.3052,0;4.326,-1.3789,0;3.556,.9908,0;7.0368,-.9496,0;5.572,-.4738,0;8.1812,.0808,0;9.646,-.395,0;5.0962,.9908,0;3.0802,-.4738,0;6.5884,-1.7927,0;7.7892,-1.5374,0;9.1976,-1.2382,0;10.3985,-.9828,0;4.326,-2.3339,0;5.6573,1.7634,0;2.1721,-.7689,0;
</t>
  </si>
  <si>
    <t xml:space="preserve">C01267</t>
  </si>
  <si>
    <t xml:space="preserve">imp[c]</t>
  </si>
  <si>
    <t xml:space="preserve">IMP</t>
  </si>
  <si>
    <t xml:space="preserve">C10H11N4O8P</t>
  </si>
  <si>
    <t xml:space="preserve">InChI=1/C10H13N4O8P/c15-6-4(1-21-23(18,19)20)22-10(7(6)16)14-3-13-5-8(14)11-2-12-9(5)17/h2-4,6-7,10,15-16H,1H2,(H,11,12,17)(H2,18,19,20)/p-2/t4-,6-,7-,10-/s2
AuxInfo=1/1/N:18,23,20,17,21,16,14,19,22,15,12,13,11,10,4,3,8,6,7,9,5,2,1/E:(18,19,20)/rA:33POOOOO-O-OONNNNC.eC.eC.eC.eCCCCCCHHHHHHHHHH/rB:;;;s1;s1;s1;;d1;;;;;s3;s2s10s14;s4s14;s2s16;s5s17;s10s12;s10d-11;s11d-19;d8s13s21;d-12s13;s14;s15;s16;s17;s18;s18;s3;s4;s20;s23;/rC:7.7732,5.0874,0;6.7801,-.2307,0;10.3929,-1.912,0;10.3988,1.4385,0;8.2466,3.6219,0;7.2998,6.5529,0;9.2387,5.5608,0;4.4137,-7.2613,0;6.3077,4.614,0;7.2048,-2.9419,0;7.2048,-5.4206,0;4.4137,-2.6411,0;3.08,-4.9511,0;9.1485,-1.0046,0;7.683,-1.4782,0;9.1511,.5354,0;7.6873,1.0136,0;7.2141,2.4791,0;5.7475,-3.4111,0;8.1036,-4.1811,0;5.7475,-4.9511,0;4.4137,-5.7211,0;3.08,-3.4111,0;10.0001,-.5727,0;8.3571,-2.1545,0;10.0012,.1004,0;6.7446,1.1648,0;6.6276,3.2327,0;6.3702,2.0324,0;11.2659,-1.5253,0;11.2702,1.0485,0;9.0584,-4.1811,0;2.2533,-2.9338,0;
</t>
  </si>
  <si>
    <t xml:space="preserve">C00130</t>
  </si>
  <si>
    <t xml:space="preserve">indole[c]</t>
  </si>
  <si>
    <t xml:space="preserve">Indole</t>
  </si>
  <si>
    <t xml:space="preserve">C8H7N</t>
  </si>
  <si>
    <t xml:space="preserve">InChI=1S/C8H7N/c1-2-4-8-7(3-1)5-6-9-8/h1-6,9H
AuxInfo=1/0/N:9,8,6,5,4,7,3,2,1/rA:16NCCCCCCCCHHHHHHH/rB:s1;s2;s3;d+2;d-3;s1d-4;s5;s6d-8;s1;s4;s5;s6;s7;s8;s9;/rC:7.2048,.9359,0;5.7475,.4667,0;5.7475,-1.0733,0;7.2048,-1.5428,0;4.4137,1.2367,0;4.4137,-1.8433,0;8.1036,-.3033,0;3.08,.4667,0;3.08,-1.0733,0;7.5014,1.8433,0;7.5014,-2.4504,0;4.4137,2.1915,0;4.4137,-2.7983,0;9.0584,-.3033,0;2.2533,.944,0;2.2533,-1.5508,0;
</t>
  </si>
  <si>
    <t xml:space="preserve">C00463</t>
  </si>
  <si>
    <t xml:space="preserve">ins[c]</t>
  </si>
  <si>
    <t xml:space="preserve">Inosine</t>
  </si>
  <si>
    <t xml:space="preserve">C10H12N4O5</t>
  </si>
  <si>
    <t xml:space="preserve">InChI=1/C10H12N4O5/c15-1-4-6(16)7(17)10(19-4)14-3-13-5-8(14)11-2-12-9(5)18/h2-4,6-7,10,15-17H,1H2,(H,11,12,18)/t4-,6-,7-,10-/s2
AuxInfo=1/5/N:14,19,16,13,17,12,10,15,18,11,7,9,8,6,4,3,2,5,1/rA:30OOOOONN-NN+C.eC.eC.eC.eCCCCCCHHHHHHHHHHH/rB:;;;;;;;;s2;s1s6s10;s3s10;s1s12;s4s13;s6s7;s6d-8;s8d-15;d5s9s17;s7d-9;s11;s10;s12;s13;s14;s14;s2;s16;s3;s4;s19;/rC:6.7801,1.1349,0;10.3929,-.5467,0;10.3988,2.8037,0;8.2466,4.9872,0;4.4137,-5.8959,0;7.2048,-1.5766,0;4.4137,-1.2757,0;7.2048,-4.0551,0;3.08,-3.5859,0;9.1485,.3606,0;7.683,-.1127,0;9.1511,1.9006,0;7.6873,2.3793,0;7.2141,3.8446,0;5.7475,-2.0459,0;8.1036,-2.8159,0;5.7475,-3.5859,0;4.4137,-4.3559,0;3.08,-2.0459,0;8.3571,-.789,0;10.0001,.7926,0;9.0035,2.8441,0;6.7446,2.5301,0;6.6276,4.5982,0;6.3702,3.3977,0;11.2659,-.1598,0;9.0584,-2.8159,0;11.2702,2.4138,0;7.9531,5.8959,0;2.2533,-1.5684,0;
</t>
  </si>
  <si>
    <t xml:space="preserve">C00294</t>
  </si>
  <si>
    <t xml:space="preserve">ipdp[c]</t>
  </si>
  <si>
    <t xml:space="preserve">Isopentenyl_diphosphate</t>
  </si>
  <si>
    <t xml:space="preserve">InChI=1S/C5H12O7P2/c1-5(2)3-4-11-14(9,10)12-13(6,7)8/h1,3-4H2,2H3,(H,9,10)(H2,6,7,8)/p-2
AuxInfo=1/1/N:14,13,10,11,12,7,8,9,5,6,3,4,2,1/E:(6,7,8)(9,10)/rA:24PPOOO-OO-OOCCCCCHHHHHHHHHH/rB:;s1;s1s2;s1;d1;s2;s2;d2;;s3s10;s10;s12;d-12;s10;s10;s11;s11;s13;s13;s13;s14;s14;s8;/rC:9.7485,-.4135,0;12.4161,-.4135,0;8.4149,-1.1835,0;11.0824,.3565,0;8.9785,.9203,0;10.5187,-1.7472,0;13.7497,-1.1835,0;13.1861,.9203,0;11.6461,-1.7472,0;5.7475,-1.1835,0;7.0812,-.4135,0;4.4137,-.4135,0;3.08,-1.1835,0;4.4137,1.1265,0;5.1337,-1.9148,0;6.3612,-1.9148,0;7.695,.3181,0;6.4674,.3181,0;2.6027,-.3565,0;2.2533,-1.661,0;3.5575,-2.0104,0;5.2407,1.604,0;3.5868,1.604,0;12.7086,1.7472,0;
</t>
  </si>
  <si>
    <t xml:space="preserve">C00129</t>
  </si>
  <si>
    <t xml:space="preserve">iscscys[c]</t>
  </si>
  <si>
    <t xml:space="preserve">IscS-Cysteine</t>
  </si>
  <si>
    <t xml:space="preserve">iscssulfcys[c]</t>
  </si>
  <si>
    <t xml:space="preserve">IscS-S-Sulfanylcysteine</t>
  </si>
  <si>
    <t xml:space="preserve">k[c]</t>
  </si>
  <si>
    <t xml:space="preserve">K</t>
  </si>
  <si>
    <t xml:space="preserve">InChI=1S/K/q+1
AuxInfo=1/0/N:1/rA:1K+/rB:/rC:;
</t>
  </si>
  <si>
    <t xml:space="preserve">C00238</t>
  </si>
  <si>
    <t xml:space="preserve">k[e]</t>
  </si>
  <si>
    <t xml:space="preserve">k[p]</t>
  </si>
  <si>
    <t xml:space="preserve">kdo2_AFE[c]</t>
  </si>
  <si>
    <t xml:space="preserve">KDO(2)-AFE</t>
  </si>
  <si>
    <t xml:space="preserve">kdo8p[c]</t>
  </si>
  <si>
    <t xml:space="preserve">2-Dehydro-3-deoxy-D-octonate_8-phosphate</t>
  </si>
  <si>
    <t xml:space="preserve">C8H12O11P</t>
  </si>
  <si>
    <t xml:space="preserve">InChI=1/C8H15O11P/c9-3(1-4(10)8(14)15)6(12)7(13)5(11)2-19-20(16,17)18/h3,5-7,9,11-13H,1-2H2,(H,14,15)(H2,16,17,18)/p-3/t3-,5-,6-,7-/s2
AuxInfo=1/1/N:17,18,15,19,16,13,14,20,4,7,5,2,3,11,12,8,9,10,6,1/E:(14,15)(16,17,18)/rA:32POOOOOOO-O-OO-OC.eC.eC.eC.eCCCCHHHHHHHHHHHH/rB:;;;;s1;;s1;s1;d1;;;s2;s3s13;s4s13;s5s14;s15;s6s16;d7s17;s11d12s19;s13;s14;s15;s16;s17;s17;s18;s18;s2;s3;s4;s5;/rC:17.2441,.3851,0;10.5756,-1.9251,0;11.9091,1.9251,0;9.2417,1.9251,0;13.2429,-1.9251,0;15.9103,-.3851,0;6.5744,1.9251,0;18.5778,1.1551,0;18.0141,-.9486,0;16.4741,1.7186,0;3.9069,.3851,0;5.2407,-1.9251,0;10.5756,-.3851,0;11.9091,.3851,0;9.2417,.3851,0;13.2429,-.3851,0;7.9081,-.3851,0;14.5766,.3851,0;6.5744,.3851,0;5.2407,-.3851,0;9.7485,-.8624,0;12.7361,.8624,0;10.0688,.8624,0;12.4161,-.8624,0;7.2944,-1.1165,0;8.5217,-1.1165,0;15.1904,1.1165,0;13.9629,1.1165,0;9.7485,-2.4024,0;12.7361,2.4024,0;8.4149,2.4024,0;14.0698,-2.4024,0;
</t>
  </si>
  <si>
    <t xml:space="preserve">C04478</t>
  </si>
  <si>
    <t xml:space="preserve">kdo[c]</t>
  </si>
  <si>
    <t xml:space="preserve">2-Dehydro-3-deoxy-D-octonate</t>
  </si>
  <si>
    <t xml:space="preserve">C8H13O8</t>
  </si>
  <si>
    <t xml:space="preserve">InChI=1/C8H14O8/c9-2-5(12)7(14)6(13)3(10)1-4(11)8(15)16/h3,5-7,9-10,12-14H,1-2H2,(H,15,16)/p-1
AuxInfo=1/1/N:13,14,11,15,12,9,10,16,5,3,6,4,1,2,7,8/E:(15,16)/rA:29OOOOOOO-OCCCCCCCCHHHHHHHHHHHHH/rB:;;;;;;;s1;s2s9;s3s9;s4s10;s11;s5s12;d6s13;s7d8s15;s9;s10;s11;s12;s13;s13;s14;s14;s1;s2;s3;s4;s5;/rC:10.5756,-1.9251,0;11.9091,1.9251,0;9.2417,1.9251,0;13.2429,-1.9251,0;15.9103,-.3851,0;6.5744,1.9251,0;3.9069,.3851,0;5.2407,-1.9251,0;10.5756,-.3851,0;11.9091,.3851,0;9.2417,.3851,0;13.2429,-.3851,0;7.9081,-.3851,0;14.5766,.3851,0;6.5744,.3851,0;5.2407,-.3851,0;9.4418,-1.0395,0;13.0428,1.0395,0;10.3755,1.0395,0;12.1093,-1.0395,0;7.2944,-1.1165,0;8.5217,-1.1165,0;15.1904,1.1165,0;13.9629,1.1165,0;9.7485,-2.4024,0;12.7361,2.4024,0;8.4149,2.4024,0;14.0698,-2.4024,0;16.7373,.0924,0;
</t>
  </si>
  <si>
    <t xml:space="preserve">C01187</t>
  </si>
  <si>
    <t xml:space="preserve">kdo_AFE[c]</t>
  </si>
  <si>
    <t xml:space="preserve">KDO-AFE</t>
  </si>
  <si>
    <t xml:space="preserve">leu-L[c]</t>
  </si>
  <si>
    <t xml:space="preserve">L-Leucine</t>
  </si>
  <si>
    <t xml:space="preserve">InChI=1/C6H13NO2/c1-4(2)3-5(7)6(8)9/h4-5H,3,7H2,1-2H3,(H,8,9)/t5-/s2
AuxInfo=1/1/N:7,8,5,4,6,9,3,1,2/E:(1,2)(8,9)/rA:9O-ON+CCC.oCCC/rB:;;;s4;s3s5;s4;s4;s1d2s6;/rC:8.4149,.77,0;7.0812,3.08,0;4.4137,1.54,0;4.4137,-1.54,0;5.7475,-.77,0;5.7475,.77,0;4.4137,-3.08,0;3.08,-.77,0;7.0812,1.54,0;
</t>
  </si>
  <si>
    <t xml:space="preserve">C00123</t>
  </si>
  <si>
    <t xml:space="preserve">lip_AFE[c]</t>
  </si>
  <si>
    <t xml:space="preserve">LipidA-AFE</t>
  </si>
  <si>
    <t xml:space="preserve">lipid4A_AFE[c]</t>
  </si>
  <si>
    <t xml:space="preserve">Lipid(IV)A-AFE</t>
  </si>
  <si>
    <t xml:space="preserve">C68H128N4O21P2</t>
  </si>
  <si>
    <t xml:space="preserve">lipidA_AFE[c]</t>
  </si>
  <si>
    <t xml:space="preserve">Lipid_A_disaccharide-AFE</t>
  </si>
  <si>
    <t xml:space="preserve">lps_AFE[c]</t>
  </si>
  <si>
    <t xml:space="preserve">Lipopolysaccharide-AFE</t>
  </si>
  <si>
    <t xml:space="preserve">lys-L[c]</t>
  </si>
  <si>
    <t xml:space="preserve">L-Lysine</t>
  </si>
  <si>
    <t xml:space="preserve">C6H15N2O2</t>
  </si>
  <si>
    <t xml:space="preserve">InChI=1/C6H14N2O2/c7-4-2-1-3-5(8)6(9)10/h5H,1-4,7-8H2,(H,9,10)/p+1/t5-/s2
AuxInfo=1/1/N:5,7,6,9,8,10,4,3,1,2/E:(9,10)/rA:10O-ON+N+CCCC.oCC/rB:;;;;s5;s5;s3s6;s4s7;s1d2s8;/rC:9.2417,2.1638,0;7.9081,4.4738,0;5.2407,2.9338,0;3.9069,-3.9963,0;5.2407,-.1463,0;6.5744,.6237,0;5.2407,-1.6863,0;6.5744,2.1638,0;3.9069,-2.4563,0;7.9081,2.9338,0;
</t>
  </si>
  <si>
    <t xml:space="preserve">C00047</t>
  </si>
  <si>
    <t xml:space="preserve">mal-B[c]</t>
  </si>
  <si>
    <t xml:space="preserve">beta-Maltose</t>
  </si>
  <si>
    <t xml:space="preserve">C12H22O11</t>
  </si>
  <si>
    <t xml:space="preserve">InChI=1S/C12H22O11/c13-1-3-5(15)6(16)9(19)12(22-3)23-10-4(2-14)21-11(20)8(18)7(10)17/h3-20H,1-2H2/t3-,4-,5-,6+,7-,8-,9-,10-,11-,12-/m1/s1
AuxInfo=1/0/N:2,16,3,15,22,20,8,10,18,7,12,5,1,17,23,21,9,11,19,13,14,4,6/it:im/rA:23OCC.oOC.eOC.oC.eOC.oOC.eOOC.eCOC.eOC.oOC.eO/rB:s1;s2;s3;s4;s5;s6;s7;s8;s8;s10;s10;s12;s12;s7s14;s15;s16;s5;s18;s18;s20;s3s20;s22;/rC:-2.6673,0,0;-1.3337,-.77,0;-1.3337,-2.31,0;0,-3.08,0;0,-4.62,0;1.3337,-5.39,0;2.6673,-4.62,0;2.6673,-3.08,0;1.3337,-2.31,0;4.001,-2.31,0;4.001,-.77,0;5.3347,-3.08,0;6.6685,-2.31,0;5.3347,-4.62,0;4.001,-5.39,0;4.001,-6.93,0;2.6673,-7.7,0;-1.3337,-5.39,0;-1.3337,-6.93,0;-2.6673,-4.62,0;-4.001,-5.39,0;-2.6673,-3.08,0;-4.001,-2.31,0;
</t>
  </si>
  <si>
    <t xml:space="preserve">C01971</t>
  </si>
  <si>
    <t xml:space="preserve">mal-L[c]</t>
  </si>
  <si>
    <t xml:space="preserve">L-Malate</t>
  </si>
  <si>
    <t xml:space="preserve">C4H4O5</t>
  </si>
  <si>
    <t xml:space="preserve">InChI=1/C4H6O5/c5-2(4(8)9)1-3(6)7/h2,5H,1H2,(H,6,7)(H,8,9)/p-2/t2-/s2
AuxInfo=1/1/N:7,6,9,8,1,3,5,2,4/E:(6,7)(8,9)/rA:13OO-O-OOC.eCCCHHHH/rB:;;;;s1;s6;s2d4s6;s3d5s7;s6;s7;s7;s1;/rC:7.9081,-1.6863,0;10.5756,-.1463,0;3.9069,.6237,0;9.2417,2.1638,0;5.2407,-1.6863,0;7.9081,-.1463,0;6.5744,.6237,0;9.2417,.6237,0;5.2407,-.1463,0;8.7351,-.6237,0;7.1882,1.355,0;5.9606,1.355,0;7.0812,-2.1638,0;
</t>
  </si>
  <si>
    <t xml:space="preserve">C00149</t>
  </si>
  <si>
    <t xml:space="preserve">malACP[c]</t>
  </si>
  <si>
    <t xml:space="preserve">Malonyl-ACP</t>
  </si>
  <si>
    <t xml:space="preserve">C14H22N2O10PRS</t>
  </si>
  <si>
    <t xml:space="preserve">C01209</t>
  </si>
  <si>
    <t xml:space="preserve">malcoa[c]</t>
  </si>
  <si>
    <t xml:space="preserve">Malonyl-CoA</t>
  </si>
  <si>
    <t xml:space="preserve">C24H33N7O19P3S</t>
  </si>
  <si>
    <t xml:space="preserve">InChI=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?,23-/s2
AuxInfo=1/1/N:43,44,48,47,50,51,53,35,41,45,37,33,49,54,52,38,32,31,40,42,36,46,34,39,28,30,29,27,26,25,24,20,22,23,21,7,15,19,9,10,13,14,16,17,18,8,12,5,6,11,2,3,4,1/E:(1,2)(33,34)(39,40,41)(42,43)(44,45)/rA:54SPPPOOOOO-O-OOOO-OOO-OOOOO-ONNNNNNNC.oC.eC.oC.oCCCCCCCCCCCCCCCCCCCC/rB:;;;;s2;;s3;s2;s2;s3s4;s4;d2;s3;;d3;s4;d4;;;;;;;;;;;;;s6;s7s31;s5s31;s5s24s32;s8s33;s24d+26;s24d-25;s25s36;;s15s39;s12s39;s27s28d+38;s39;s39;s26d-27;d19s29s40;s29;s47;d20s30s48;s30;s1s50;s1d21;s52;s22d23s53;/rC:7.9718,10.5349,0;28.3371,-3.6029,0;23.3317,-2.3055,0;21.3526,-.5173,0;24.8769,-6.8036,0;28.4956,-5.1346,0;28.4896,-8.4851,0;23.805,-3.771,0;28.1788,-2.0711,0;29.8691,-3.4446,0;22.8585,-.84,0;19.8468,-.1945,0;26.8053,-3.7611,0;21.8663,-2.7789,0;15.3294,.7739,0;24.7972,-1.8323,0;21.6754,.9886,0;21.0299,-2.0231,0;16.921,4.5246,0;12.9627,8.101,0;5.4337,9.7151,0;4.0135,14.1114,0;3.4545,11.5033,0;25.3015,-9.5148,0;25.3015,-11.9933,0;22.5105,-9.2142,0;21.177,-11.5242,0;22.5105,-13.8342,0;14.3827,3.7048,0;10.4244,7.2813,0;27.2481,-6.0377,0;27.2453,-7.5777,0;25.7843,-5.5593,0;25.78,-8.0509,0;25.3109,-4.0938,0;23.8444,-9.9842,0;26.2003,-10.7542,0;23.8444,-11.5242,0;17.8675,1.5938,0;16.3619,1.9165,0;19.3734,1.271,0;22.5105,-12.2942,0;18.1905,3.0996,0;17.5448,.0879,0;21.177,-9.9842,0;15.8885,3.382,0;13.9093,5.1703,0;12.4034,5.493,0;11.9302,6.9586,0;9.951,8.7466,0;8.4452,9.0694,0;6.4661,10.8577,0;5.9927,12.3232,0;4.4869,12.6459,0;
</t>
  </si>
  <si>
    <t xml:space="preserve">C00083</t>
  </si>
  <si>
    <t xml:space="preserve">malttr[c]</t>
  </si>
  <si>
    <t xml:space="preserve">Maltotriose</t>
  </si>
  <si>
    <t xml:space="preserve">C18H32O16</t>
  </si>
  <si>
    <t xml:space="preserve">InChI=1/C18H32O16/c19-1-4-7(22)8(23)12(27)17(31-4)34-15-6(3-21)32-18(13(28)10(15)25)33-14-5(2-20)30-16(29)11(26)9(14)24/h4-29H,1-3H2/t4-,5-,6-,7-,8+,9-,10-,11-,12-,13-,14-,15-,16?,17-,18-/s2
AuxInfo=1/0/N:34,33,31,30,25,20,28,27,24,18,29,26,19,22,17,32,23,21,16,15,13,11,10,8,6,12,9,7,14,5,4,1,3,2/rA:66OOOOOOOOOOOOOOOOC.eC.eC.oC.eC.oC.eC.eC.eC.eC.eC.oC.eC.oC.eCCCCHHHHHHHHHHHHHHHHHHHHHHHHHHHHHHHH/rB:;;;;;;;;;;;;;;;s2;s6s17;s7s18;s1s17;s1s3s19;s3;s2s4;s8s22;s5s22;s9s23;s10s26;s11s27;s12s24;s4s28;s13s20;s5s14s29;s15s25;s16s30;s17;s18;s19;s20;s21;s22;s23;s24;s25;s26;s27;s28;s29;s30;s31;s31;s32;s33;s33;s6;s7;s34;s34;s8;s9;s10;s11;s12;s13;s14;s15;s16;/rC:10.5756,-.77,0;9.2417,3.08,0;9.2417,-3.08,0;6.5744,3.08,0;13.2429,-3.85,0;6.5744,1.54,0;6.5744,-1.54,0;9.2417,-6.1602,0;9.2417,6.1602,0;6.5744,7.7002,0;3.9069,6.1602,0;11.9091,-7.7002,0;13.2429,.77,0;14.5766,-6.1602,0;13.2429,-.77,0;3.9069,1.54,0;9.2417,1.54,0;7.9081,.77,0;7.9081,-.77,0;10.5756,.77,0;9.2417,-1.54,0;10.5756,-3.85,0;7.9081,3.85,0;10.5756,-5.3902,0;11.9091,-3.08,0;7.9081,5.3902,0;6.5744,6.1602,0;5.2407,5.3902,0;11.9091,-6.1602,0;5.2407,3.85,0;11.9091,1.54,0;13.2429,-5.3902,0;11.9091,-1.54,0;3.9069,3.08,0;10.0688,2.0175,0;7.9081,1.7248,0;7.9081,-1.7248,0;11.4023,.2927,0;8.4149,-2.0175,0;9.7485,-4.3275,0;7.9081,2.8952,0;9.7485,-4.9127,0;12.7361,-2.6027,0;7.9081,6.345,0;7.4013,6.6375,0;5.2407,6.345,0;12.7361,-6.6375,0;5.2407,2.8952,0;12.5229,2.2715,0;11.2956,2.2715,0;13.2429,-6.345,0;11.5827,-.6429,0;10.9689,-1.7059,0;5.7475,1.0627,0;6.5744,-2.4948,0;3.5805,3.9773,0;2.9667,2.9142,0;9.2417,-7.115,0;9.2417,7.115,0;5.7475,8.1775,0;3.08,5.6827,0;12.7361,-8.1775,0;14.0698,1.2475,0;15.4035,-5.6827,0;14.0698,-1.2475,0;3.08,1.0627,0;
</t>
  </si>
  <si>
    <t xml:space="preserve">C01835</t>
  </si>
  <si>
    <t xml:space="preserve">maltttr[c]</t>
  </si>
  <si>
    <t xml:space="preserve">Maltotetraose</t>
  </si>
  <si>
    <t xml:space="preserve">C24H42O21</t>
  </si>
  <si>
    <t xml:space="preserve">InChI=1/C24H42O21/c25-1-5-9(29)10(30)15(35)22(40-5)44-19-7(3-27)42-24(17(37)12(19)32)45-20-8(4-28)41-23(16(36)13(20)33)43-18-6(2-26)39-21(38)14(34)11(18)31/h5-38H,1-4H2/t5-,6-,7-,8-,9-,10+,11-,12-,13-,14-,15-,16-,17-,18-,19-,20-,21?,22-,23-,24-/s2
AuxInfo=1/0/N:45,44,42,39,41,35,30,28,38,37,34,25,24,40,36,29,27,32,23,22,43,33,31,26,21,20,18,17,15,14,12,9,7,16,13,11,10,19,8,6,3,2,5,4,1/rA:87OOOOOOOOOOOOOOOOOOOOOC.eC.eC.eC.eC.eC.oC.eC.oC.eC.oC.eC.eC.eC.eC.eC.oC.eCC.oC.eCCCCHHHHHHHHHHHHHHHHHHHHHHHHHHHHHHHHHHHHHHHHHH/rB:;;;;;;;;;;;;;;;;;;;;s1;s4;s7s22;s9s23;s1s2;s10s25s26;s3s22;s11s24;s2s23;s3s5s29;s5;s4s6;s12s32;s8s32;s13s33;s14s36;s15s37;s17s28;s16s34;s6s38;s18s30;s8s19s40;s20s35;s21s41;s22;s23;s24;s25;s26;s27;s28;s29;s30;s31;s32;s33;s34;s35;s36;s37;s38;s40;s39;s39;s41;s42;s42;s43;s7;s9;s10;s44;s44;s11;s45;s45;s12;s13;s14;s15;s16;s17;s18;s19;s20;s21;/rC:10.5756,-.77,0;11.9091,1.54,0;13.2429,-3.85,0;10.5756,5.3902,0;15.9103,-3.85,0;7.9081,5.3902,0;13.2429,.77,0;17.2441,-7.7002,0;7.9081,3.85,0;7.9081,.77,0;15.9103,-.77,0;13.2429,-5.3902,0;10.5756,8.4702,0;7.9081,10.0102,0;5.2407,8.4702,0;13.2429,-8.4702,0;10.5756,-5.3902,0;14.5766,3.08,0;15.9103,-10.0102,0;19.9114,-6.1602,0;3.9069,6.1602,0;11.9091,-1.54,0;10.5756,3.85,0;13.2429,-.77,0;9.2417,3.08,0;10.5756,.77,0;9.2417,1.54,0;11.9091,-3.08,0;14.5766,-1.54,0;11.9091,3.08,0;14.5766,-3.08,0;15.9103,-5.3902,0;9.2417,6.1602,0;14.5766,-6.1602,0;17.2441,-6.1602,0;9.2417,7.7002,0;7.9081,8.4702,0;6.5744,7.7002,0;10.5756,-3.85,0;14.5766,-7.7002,0;6.5744,6.1602,0;13.2429,3.85,0;15.9103,-8.4702,0;18.5778,-5.3902,0;5.2407,5.3902,0;11.9091,-.5852,0;9.7485,4.3275,0;12.4161,-.2927,0;8.4149,2.6027,0;9.7485,.2927,0;8.4149,2.0175,0;11.9091,-4.0348,0;15.4035,-2.0175,0;12.7361,2.6027,0;15.4035,-2.6027,0;16.7373,-4.9127,0;10.0688,6.6375,0;14.5766,-5.2054,0;18.0708,-6.6375,0;10.0688,7.2227,0;8.7351,8.9477,0;6.5744,8.655,0;14.5766,-8.655,0;10.2489,-2.9529,0;9.6352,-4.0159,0;6.5744,5.2054,0;13.8566,4.5815,0;12.6291,4.5815,0;15.0834,-8.9477,0;14.0698,1.2475,0;7.0812,3.3727,0;7.9081,-.1848,0;19.1914,-4.6586,0;17.9641,-4.6586,0;16.7373,-1.2475,0;4.6269,4.6586,0;5.8544,4.6586,0;12.4161,-5.8675,0;10.5756,9.425,0;7.0812,10.4877,0;5.2407,9.425,0;13.2429,-9.425,0;9.7485,-5.8675,0;15.4035,3.5575,0;16.7373,-10.4877,0;20.7385,-5.6827,0;3.08,5.6827,0;
</t>
  </si>
  <si>
    <t xml:space="preserve">C02052</t>
  </si>
  <si>
    <t xml:space="preserve">man1p[c]</t>
  </si>
  <si>
    <t xml:space="preserve">D-Mannose_1-phosphate</t>
  </si>
  <si>
    <t xml:space="preserve">InChI=1/C6H13O9P/c7-1-2-3(8)4(9)5(10)6(14-2)15-16(11,12)13/h2-10H,1H2,(H2,11,12,13)/p-2
AuxInfo=1/1/N:10,5,9,6,3,1,16,15,11,7,12,13,14,2,4,8/E:(11,12,13)/rA:16COCOCCOPCCOO-O-OOO/rB:s1;s1;s1;s2;s3;s3;s4;s5s6;s5;s6;s8;s8;d8;s9;s10;/rC:.061,-.9903,0;1.184,.0491,0;-1.389,-.5518,0;.1406,-2.5168,0;.8546,1.5163,0;-1.7405,.9382,0;-2.7113,-1.3388,0;1.3505,-3.4709,0;-.6132,1.9925,0;2.2663,2.1364,0;-3.1369,1.6022,0;2.6848,-2.7026,0;.0599,-4.3077,0;2.4323,-4.567,0;-.5936,3.5521,0;3.3296,1.0414,0;
</t>
  </si>
  <si>
    <t xml:space="preserve">C00636</t>
  </si>
  <si>
    <t xml:space="preserve">man6p[c]</t>
  </si>
  <si>
    <t xml:space="preserve">D-Mannose_6-phosphate</t>
  </si>
  <si>
    <t xml:space="preserve">InChI=1/C6H13O9P/c7-3-2(1-14-16(11,12)13)15-6(10)5(9)4(3)8/h2-10H,1H2,(H2,11,12,13)/p-2/t2-,3-,4+,5+,6?/s2
AuxInfo=1/1/N:16,13,11,12,14,15,3,4,5,6,8,9,10,7,2,1/E:(11,12,13)/rA:27POOOOOOO-O-OC.eC.eC.eC.eCCHHHHHHHHHHH/rB:;;;;;s1;s1;s1;d1;s3;s4s11;s2s11;s5s12;s2s6s14;s7s13;s11;s12;s13;s14;s15;s16;s16;s3;s4;s5;s6;/rC:10.5756,2.8414,0;6.5744,.5313,0;9.2417,-2.5487,0;6.5744,-4.0887,0;3.9069,-2.5487,0;3.9069,.5313,0;9.2417,2.0713,0;11.9091,3.6114,0;9.8056,4.175,0;11.3456,1.5077,0;7.9081,-1.7787,0;6.5744,-2.5487,0;7.9081,-.2387,0;5.2407,-1.7787,0;5.2407,-.2387,0;9.2417,.5313,0;7.9081,-2.7335,0;7.4013,-3.0262,0;7.9081,.7161,0;5.2407,-2.7335,0;5.2407,1.0703,0;9.5683,-.3659,0;10.1821,.6972,0;10.0688,-2.0713,0;5.7475,-4.5662,0;3.08,-2.0713,0;3.9069,1.4861,0;
</t>
  </si>
  <si>
    <t xml:space="preserve">C00275</t>
  </si>
  <si>
    <t xml:space="preserve">met-L[c]</t>
  </si>
  <si>
    <t xml:space="preserve">L-Methionine</t>
  </si>
  <si>
    <t xml:space="preserve">C5H11NO2S</t>
  </si>
  <si>
    <t xml:space="preserve">InChI=1/C5H11NO2S/c1-9-3-2-4(6)5(7)8/h4H,2-3,6H2,1H3,(H,7,8)/t4-/s2
AuxInfo=1/1/N:9,5,7,6,8,4,2,3,1/E:(7,8)/rA:9SO-ON+CC.oCCC/rB:;;;;s4s5;s1s5;s2d3s6;s1;/rC:4.4137,-2.6951,0;8.4149,1.1551,0;7.0812,3.4651,0;4.4137,1.9251,0;5.7475,-.3851,0;5.7475,1.1551,0;4.4137,-1.1551,0;7.0812,1.9251,0;3.08,-3.4651,0;
</t>
  </si>
  <si>
    <t xml:space="preserve">C00073</t>
  </si>
  <si>
    <t xml:space="preserve">methf[c]</t>
  </si>
  <si>
    <t xml:space="preserve">5,10-Methenyl-THF</t>
  </si>
  <si>
    <t xml:space="preserve">C20H20N7O6</t>
  </si>
  <si>
    <t xml:space="preserve">InChI=1/C20H21N7O6/c21-20-24-16-15(18(31)25-20)27-9-26(8-12(27)7-22-16)11-3-1-10(2-4-11)17(30)23-13(19(32)33)5-6-14(28)29/h1-4,9,12-13H,5-8H2,(H6-,21,22,23,24,25,28,29,30,31,32,33)/p-2/t12?,13-/s2
AuxInfo=1/2/N:25,26,22,23,30,31,16,15,17,27,20,14,28,33,18,19,29,21,32,24,12,9,13,10,11,8,7,5,6,2,1,3,4/E:(1,2)(3,4)(28,29)(32,33)/CRV:24-1,27+1/rA:52OOO-OO-ON+NNN-NNNCCCCCCCCCCCCCCC.eCCCCCHHHHHHHHHHHHHHHHHHH/rB:;;;;;;;;;;;;s7;s8s14;s9s14;d-7s8;s7;s9s10d-18;s8;d1s11s18;d+20;s20;s10d-11s12;s22;d-23;d-25s26;s13;d2s13s27;s28;s30;s3d4s28;s5d6s31;s14;s15;s15;s16;s16;s17;s9;s22;s23;s25;s26;s28;s30;s30;s12;s12;s13;s31;s31;/rC:18.9702,3.4619,0;9.7177,.8971,0;5.8675,-3.1041,0;8.1775,-4.4378,0;3.5575,.8971,0;5.8675,2.2307,0;19.0038,.3334,0;16.6477,-.4366,0;21.6713,-1.2066,0;23.0726,1.1138,0;21.6957,3.5202,0;24.4218,3.483,0;9.7177,-1.7703,0;19.0038,-1.2066,0;17.5465,-1.6759,0;20.3375,-1.9766,0;17.5465,.8027,0;20.3375,1.1034,0;21.6713,.3334,0;15.1077,-.4366,0;20.3127,2.7074,0;14.3377,.8971,0;14.3377,-1.7703,0;23.0849,2.7181,0;12.7977,.8971,0;12.7977,-1.7703,0;12.0277,-.4366,0;8.1775,-1.7703,0;10.4877,-.4366,0;7.4075,-.4366,0;5.8675,-.4366,0;7.4075,-3.1041,0;5.0975,.8971,0;18.8653,-2.5082,0;16.719,-2.1523,0;17.9331,-2.5491,0;19.7238,-2.7082,0;20.9513,-2.7082,0;17.2499,1.7102,0;22.498,-1.6841,0;14.8152,1.7239,0;14.8152,-2.5973,0;12.3202,1.7239,0;12.3202,-2.5973,0;8.655,-2.5973,0;8.3048,-.1101,0;7.2417,.5038,0;24.4253,4.4378,0;25.2467,3.0023,0;10.195,-2.5973,0;4.9704,-.7633,0;6.0334,-1.3769,0;
</t>
  </si>
  <si>
    <t xml:space="preserve">C00445</t>
  </si>
  <si>
    <t xml:space="preserve">mg2[c]</t>
  </si>
  <si>
    <t xml:space="preserve">Mg</t>
  </si>
  <si>
    <t xml:space="preserve">InChI=1S/Mg/q+2
AuxInfo=1/0/N:1/rA:1Mg+2/rB:/rC:;
</t>
  </si>
  <si>
    <t xml:space="preserve">C00305</t>
  </si>
  <si>
    <t xml:space="preserve">mg2[e]</t>
  </si>
  <si>
    <t xml:space="preserve">mg2[p]</t>
  </si>
  <si>
    <t xml:space="preserve">mlthf[c]</t>
  </si>
  <si>
    <t xml:space="preserve">5,10-Methylenetetrahydrofolate</t>
  </si>
  <si>
    <t xml:space="preserve">C20H21N7O6</t>
  </si>
  <si>
    <t xml:space="preserve">InChI=1/C20H23N7O6/c21-20-24-16-15(18(31)25-20)27-9-26(8-12(27)7-22-16)11-3-1-10(2-4-11)17(30)23-13(19(32)33)5-6-14(28)29/h1-4,12-13H,5-9H2,(H,23,30)(H,28,29)(H,32,33)(H4,21,22,24,25,31)/p-2/t12-,13?/s2
AuxInfo=1/1/N:25,26,22,23,30,31,17,15,16,27,20,14,29,33,18,19,28,21,32,24,12,9,13,10,11,8,7,5,6,2,1,3,4/E:(1,2)(3,4)(28,29)(32,33)/rA:34OOO-OO-ONNNNNNNC.eCCCCCCCCCCCCCCCCCCCH/rB:;;;;;;;;;;;;s7;s8s14;s7s8;s9s14;s7;s9s10d-18;s8;d1s11s18;d+20;s20;s10d-11s12;s22;d-23;d-25s26;d2s13s27;s13;s29;s30;s3d4s29;s5d6s31;s14;/rC:18.9702,3.4619,0;9.7177,.8971,0;5.8675,-3.1041,0;8.1775,-4.4378,0;3.5575,.8971,0;5.8675,2.2307,0;19.0038,.3334,0;16.6477,-.4366,0;21.6713,-1.2066,0;23.0726,1.1138,0;21.6957,3.5202,0;24.4218,3.483,0;9.7177,-1.7703,0;19.0038,-1.2066,0;17.5465,-1.6759,0;17.5465,.8027,0;20.3375,-1.9766,0;20.3375,1.1034,0;21.6713,.3334,0;15.1077,-.4366,0;20.3127,2.7074,0;14.3377,.8971,0;14.3377,-1.7703,0;23.0849,2.7181,0;12.7977,.8971,0;12.7977,-1.7703,0;12.0277,-.4366,0;10.4877,-.4366,0;8.1775,-1.7703,0;7.4075,-.4366,0;5.8675,-.4366,0;7.4075,-3.1041,0;5.0975,.8971,0;18.8653,-2.5082,0;
</t>
  </si>
  <si>
    <t xml:space="preserve">C00143</t>
  </si>
  <si>
    <t xml:space="preserve">mmcoa[c]</t>
  </si>
  <si>
    <t xml:space="preserve">Methylmalonyl-CoA</t>
  </si>
  <si>
    <t xml:space="preserve">C25H35N7O19P3S</t>
  </si>
  <si>
    <t xml:space="preserve"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?,13-,16-,17-,18+,22-/m1/s1
AuxInfo=1/1/N:1,22,23,14,15,10,9,34,24,53,47,2,35,12,49,38,40,19,50,55,17,37,3,6,21,51,11,16,52,54,48,46,13,39,20,18,4,5,7,43,44,45,31,32,27,28,33,25,36,41,29,42,30,26,8/E:(2,3)(37,38)(40,41,42)(43,44)(45,46)/it:im/rA:55CCCO-OCOSCCNCOCCNCOC.eOCCCCOPO-OOPO-OOCC.oOC.eC.eOC.eOPO-O-ONCNCCNNCNC/rB:s1;s2;s3;d3;s2;d6;s6;s8;s9;s10;s11;d12;s12;s14;s15;s16;d17;s17;s19;s19;s21;s21;s21;s24;s25;s26;d26;s26;s29;s30;d30;s30;s33;s34;s35;s36;s37;s38;s35s38;s40;s41;s42;s42;d42;s37;s46;d-47;s48;d-49;s50;s50;d-52;s53;s46s49d+54;/rC:36.9033,5.0325,0;36.9033,3.4925,0;35.5697,2.7225,0;34.236,3.4925,0;35.5697,1.1825,0;38.237,2.7225,0;38.237,1.1825,0;39.5707,3.4925,0;40.9043,2.7225,0;42.238,3.4925,0;43.5717,2.7225,0;44.9053,3.4925,0;44.9053,5.0325,0;46.239,2.7225,0;47.5727,3.4925,0;48.9065,2.7225,0;50.24,3.4925,0;50.24,5.0325,0;51.5738,2.7225,0;51.5738,1.1825,0;52.9075,3.4925,0;53.6775,2.159,0;52.1375,4.8263,0;54.241,4.2625,0;55.5748,3.4925,0;56.9085,4.2625,0;57.6785,2.929,0;56.1385,5.5963,0;58.2422,5.0325,0;59.5758,4.2625,0;58.8058,2.929,0;60.3458,5.5963,0;60.9095,3.4925,0;62.2433,4.2625,0;63.5768,3.4925,0;64.9837,4.119,0;66.0143,2.9745,0;65.2443,1.6408,0;65.8706,.2341,0;63.7379,1.9611,0;62.5934,.9305,0;61.1289,1.4065,0;61.6047,2.8711,0;60.6529,-.0582,0;59.6641,1.8823,0;67.5457,3.1354,0;68.3157,4.4692,0;69.8221,4.149,0;69.983,2.6174,0;71.229,1.7123,0;72.6359,2.3386,0;71.0679,.1807,0;69.6612,-.4458,0;68.4152,.4596,0;68.5763,1.991,0;
</t>
  </si>
  <si>
    <t xml:space="preserve">C01213</t>
  </si>
  <si>
    <t xml:space="preserve">mn2[c]</t>
  </si>
  <si>
    <t xml:space="preserve">Mn2</t>
  </si>
  <si>
    <t xml:space="preserve">Mn</t>
  </si>
  <si>
    <t xml:space="preserve">InChI=1S/Mn/q+2
AuxInfo=1/0/N:1/rA:1Mn+2/rB:/rC:;
</t>
  </si>
  <si>
    <t xml:space="preserve">C00034</t>
  </si>
  <si>
    <t xml:space="preserve">mn2[e]</t>
  </si>
  <si>
    <t xml:space="preserve">mn2[p]</t>
  </si>
  <si>
    <t xml:space="preserve">mtribp[c]</t>
  </si>
  <si>
    <t xml:space="preserve">S-Methyl-5-thio-D-ribose_1-phosphate</t>
  </si>
  <si>
    <t xml:space="preserve">C6H11O7PS</t>
  </si>
  <si>
    <t xml:space="preserve">InChI=1S/C6H13O7PS/c1-15-2-3-4(7)5(8)6(12-3)13-14(9,10)11/h3-8H,2H2,1H3,(H2,9,10,11)/p-2/t3-,4-,5-,6-/m1/s1
AuxInfo=1/1/N:15,14,11,10,12,13,5,6,7,8,9,3,4,2,1/E:(9,10,11)/it:im/rA:26SP.oOOOOO-O-OC.oC.eC.oC.oC.oCHHHHHHHHHHH/rB:;;s2;;;s2;s2;d2;s5;s3s10;s6s10;s3s4s12;s1s11;s1;s10;s11;s12;s13;s14;s14;s5;s6;s15;s15;s15;/rC:-3.4641,-1.5759,.3275;2.7496,-.939,.1199;-.5747,-.6026,.0294;1.621,.2168,.2331;-.1279,2.1132,1.4756;.8644,2.5078,-1.0695;3.1137,-.9667,-1.4555;1.8979,-2.2978,.3286;3.9191,-.7754,1.046;-.9572,1.7289,.3813;-1.5074,.3263,.6315;-.1118,1.5131,-.8571;.4786,.1355,-.6115;-2.8662,.1007,-.0168;-5.035,-1.485,-.5623;-1.7212,2.5017,.2623;-1.5495,.109,1.7059;-.7667,1.4712,-1.7363;.7352,-.3514,-1.5567;-2.7986,.2131,-1.1039;-3.5922,.8232,.3694;.5245,1.4105,1.6348;.405,3.3638,-1.1104;-5.6661,-.6974,-.1423;-5.5598,-2.4392,-.4649;-4.8614,-1.2914,-1.624;
</t>
  </si>
  <si>
    <t xml:space="preserve">C04188</t>
  </si>
  <si>
    <t xml:space="preserve">mtrp[c]</t>
  </si>
  <si>
    <t xml:space="preserve">S-Methyl-5-thio-D-ribulose_1-phosphate</t>
  </si>
  <si>
    <t xml:space="preserve">InChI=1S/C6H13O7PS/c1-15-3-5(8)6(9)4(7)2-13-14(10,11)12/h5-6,8-9H,2-3H2,1H3,(H2,10,11,12)/p-2/t5-,6+/m1/s1
AuxInfo=1/1/N:15,14,12,13,10,11,6,3,4,7,8,9,5,2,1/E:(10,11,12)/it:im/rA:26SP.oOOOOO-O-OC.eC.oC.eCC.oCHHHHHHHHHHH/rB:;;;s2;;s2;s2;d2;s3;s4s10;s1s10;d6s11;s5s13;s1;s10;s11;s12;s12;s14;s14;s3;s4;s15;s15;s15;/rC:-3.4664,-2.0656,.7675;3.3872,-.4366,-.0137;-3.362,.1922,-1.3335;-2.2265,2.4099,.1205;2.1197,.4736,.4242;.0901,1.992,1.2371;3.6429,-.0205,-1.5554;2.7491,-1.918,-.1293;4.5832,-.3301,.8865;-2.1782,.0684,-.5433;-1.4471,1.4192,-.5379;-2.5536,-.4906,.8371;-.1119,1.349,.2057;.9509,.4326,-.3698;-2.1773,-3.0754,.0044;-1.5425,-.6548,-1.0629;-1.2657,1.7776,-1.5562;-1.669,-.6212,1.4681;-3.2252,.2057,1.3494;1.1798,.7677,-1.3851;.5696,-.5905,-.3845;-3.095,.4909,-2.2195;-2.3414,2.1474,1.0489;-1.2181,-2.9346,.5095;-2.0785,-2.8438,-1.0587;-2.4575,-4.129,.0917;
</t>
  </si>
  <si>
    <t xml:space="preserve">C04582</t>
  </si>
  <si>
    <t xml:space="preserve">murein5p5p[c]</t>
  </si>
  <si>
    <t xml:space="preserve">murein5p5p</t>
  </si>
  <si>
    <t xml:space="preserve">C80H124N16O42</t>
  </si>
  <si>
    <t xml:space="preserve">InChI=1/C80H128N16O42/c1-28(64(112)87-32(5)74(122)123)85-70(118)42(17-13-15-40(81)76(126)127)95-72(120)44(19-21-51(105)106)93-66(114)30(3)83-68(116)34(7)131-59-46(89-36(9)101)27-130-48(24-98)61(59)137-79-54(91-38(11)103)58(111)60(49(25-99)134-79)136-80-55(92-39(12)104)63(62(50(26-100)135-80)138-78-53(90-37(10)102)57(110)56(109)47(23-97)133-78)132-35(8)69(117)84-31(4)67(115)94-45(20-22-52(107)108)73(121)96-43(18-14-16-41(82)77(128)129)71(119)86-29(2)65(113)88-33(6)75(124)125/h27-35,40-45,47-50,53-63,78-80,97-100,109-111H,13-26,81-82H2,1-12H3,(H,83,116)(H,84,117)(H,85,118)(H,86,119)(H,87,112)(H,88,113)(H,89,101)(H,90,102)(H,91,103)(H,92,104)(H,93,114)(H,94,115)(H,95,120)(H,96,121)(H,105,106)(H,107,108)(H,122,123)(H,124,125)(H,126,127)(H,128,129)/p-3
AuxInfo=1/1/N:55,124,30,99,65,134,15,82,19,101,32,86,51,120,53,122,46,115,39,108,42,111,97,11,28,78,7,52,121,25,93,61,130,9,76,13,96,27,80,56,125,43,112,37,106,3,92,5,24,72,44,113,84,17,70,94,90,137,1,26,2,69,68,54,123,29,98,14,81,45,114,38,107,64,133,59,128,79,12,74,60,129,21,88,49,118,57,126,8,91,23,75,35,104,40,109,103,16,34,83,20,102,33,87,47,48,116,117,100,95,138,58,127,36,105,22,89,50,119,41,110,66,67,135,136,62,63,131,132,10,4,71,85,18,77,31,6,73/E:(105,106)(107,108)(122,123)(124,125)(126,127)(128,129)/rA:262CCCOCOCNCOCCCCCOCOCONONCCCCCCCOCOONOCCCNOCCCCCO-ONOCCCCCCNOCN+CO-OCCO-OCCCOCOCNCOCCCCCOCOCONOCNCCCOCCCCOCO+ONOCCCNOCCCCCO-ONOCCCCCCNOCN+CO-OCCO-OCOHHHHHHHHHHHHHHHHHHHHHHHHHHHHHHHHHHHHHHHHHHHHHHHHHHHHHHHHHHHHHHHHHHHHHHHHHHHHHHHHHHHHHHHHHHHHHHHHHHHHHHHHHHHHHHHHHHHHHHHH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121;s121;s122;s123;d123;s125;s125;s126;s128;d128;s130;s130;s133;d133;s17s26;s137;s1;s2;s5;s7;s8;s9;s11;s11;s12;s15;s15;s15;s16;s17;s19;s19;s19;s21;s23;s24;s25;s26;s28;s28;s30;s30;s30;s32;s32;s32;s34;s35;s37;s39;s39;s40;s42;s42;s43;s46;s46;s49;s51;s51;s52;s53;s53;s55;s55;s55;s56;s57;s60;s60;s60;s61;s65;s65;s65;s68;s69;s70;s72;s74;s75;s76;s78;s78;s79;s82;s82;s82;s83;s84;s86;s86;s86;s88;s90;s91;s92;s93;s94;s95;s97;s97;s99;s99;s99;s100;s101;s101;s101;s103;s104;s106;s108;s108;s109;s111;s111;s112;s115;s115;s118;s120;s120;s121;s122;s122;s124;s124;s124;s125;s126;s129;s129;s129;s130;s134;s134;s134;s137;s138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15.2137,-22.7108,0;12.5464,-22.7108,0;16.5474,-15.7808,0;15.2137,-13.4708,0;15.2137,-24.2508,0;16.5474,-21.9408,0;12.5464,-24.2508,0;16.5474,-25.0208,0;11.2127,-25.0208,0;16.5474,-26.5608,0;17.881,-24.2508,0;11.2127,-26.5608,0;17.881,-27.3308,0;15.2137,-27.3308,0;9.879,-27.3308,0;12.5464,-27.3308,0;17.881,-28.8708,0;8.5452,-26.5608,0;9.879,-28.8708,0;19.2147,-29.6408,0;16.5474,-29.6408,0;20.5485,-28.8708,0;19.2147,-31.1808,0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28.8077,-23.4666,0;29.8891,-16.4931,0;30.1685,-24.1877,0;27.5031,-24.2846,0;31.2499,-17.214,0;29.8331,-14.9539,0;30.2243,-25.7268,0;31.4733,-23.3699,0;27.5589,-25.8237,0;31.5851,-26.4479,0;26.2539,-26.6416,0;31.6411,-27.9869,0;32.8899,-25.6301,0;26.3097,-28.1805,0;33.0015,-28.708,0;30.3359,-28.8049,0;25.0049,-28.9985,0;27.6705,-28.9016,0;33.0574,-30.2471,0;23.6441,-28.2774,0;25.0607,-30.5374,0;34.4183,-30.9682,0;31.7527,-31.0649,0;35.7231,-30.1502,0;34.4742,-32.5071,0;15.7328,-8.4534,0;15.7328,-9.9934,0;7.7175,-7.2649,0;8.9393,-9.6977,0;7.8182,-4.9663,0;6.8184,-7.6698,0;2.9538,-8.2979,0;10.4111,-11.1431,0;10.8914,-4.6389,0;10.3542,-7.1822,0;13.3939,-4.7064,0;9.8609,-12.1107,0;11.0081,-8.9346,0;8.1385,-10.0481,0;9.9906,-2.7474,0;15.3042,-6.5785,0;4.3159,-11.9243,0;5.1895,-12.7635,0;5.2623,-9.5053,0;11.0643,-12.41,0;14.5527,-8.5777,0;18.3751,-6.4585,0;8.4706,-14.7551,0;16.4993,-5.5535,0;19.2724,-3.7094,0;19.9192,-4.6034,0;7.0323,-16.7044,0;8.1187,-17.3927,0;7.538,-14.4217,0;13.6375,-12.0645,0;14.8213,-12.4033,0;13.082,-11.0481,0;18.4673,-2.0403,0;9.7554,-17.8175,0;11.4219,-19.1985,0;14.6371,-18.6781,0;15.5025,-17.9183,0;13.4577,-18.7755,0;12.9703,-14.5191,0;15.2527,-16.5409,0;15.2958,-21.2147,0;11.0174,-22.0802,0;14.0114,-22.9568,0;14.9061,-25.9203,0;10.814,-24.1461,0;12.4066,-26.0312,0;17.7397,-25.9203,0;9.3117,-24.8422,0;9.7778,-23.736,0;18.1576,-22.6865,0;19.4699,-24.6463,0;19.3129,-23.363,0;12.1098,-25.1586,0;19.7779,-27.7599,0;12.6259,-29.0388,0;10.923,-28.3455,0;13.5921,-26.2668,0;18.8457,-27.6494,0;16.1398,-28.272,0;15.358,-30.7834,0;16.9398,-31.2409,0;20.801,-12.1716,0;21.5419,-9.108,0;21.1641,-11.247,0;22.6492,-6.8516,0;20.5091,-6.8751,0;17.9262,-11.5815,0;24.1601,-14.1536,0;24.8983,-8.6722,0;25.3505,-6.1665,0;28.4349,-6.6703,0;25.1625,-13.37,0;23.2465,-11.2034,0;24.1657,-10.3141,0;24.7289,-4.3816,0;29.7804,-11.0908,0;19.2175,-14.017,0;19.6526,-11.5817,0;20.2709,-14.7523,0;25.7658,-14.0931,0;32.0006,-10.9474,0;28.2677,-8.9247,0;31.7669,-6.188,0;24.7359,-18.0753,0;33.5462,-9.3216,0;28.7778,-11.4546,0;32.6962,-8.6401,0;34.697,-7.0183,0;23.3595,-19.0325,0;22.2223,-18.909,0;21.6268,-17.8808,0;34.4305,-11.5418,0;27.739,-13.2186,0;30.6131,-14.0198,0;30.9501,-13.0041,0;34.3883,-4.819,0;27.5903,-18.634,0;25.8841,-20.4598,0;29.4049,-20.4002,0;30.357,-18.6387,0;29.7806,-23.1119,0;27.8789,-16.2988,0;29.2016,-15.8829,0;30.069,-22.1235,0;26.0561,-23.2213,0;26.0617,-24.2887,0;29.5368,-27.2195,0;29.0479,-25.8543,0;26.1638,-25.5733,0;30.7293,-27.7536,0;24.8054,-25.7527,0;24.5894,-26.7587,0;34.3702,-24.7526,0;34.451,-26.2123,0;33.2567,-24.0891,0;25.69,-29.638,0;34.5432,-29.6546,0;26.634,-30.4349,0;27.8557,-30.4461,0;29.0465,-28.5746,0;33.0757,-31.9411,0;32.4897,-29.5258,0;30.3946,-32.0884,0;31.5907,-32.7619,0;16.6938,-9.5993,0;17.1358,-10.7266,0;
</t>
  </si>
  <si>
    <t xml:space="preserve">murein5px4p[c]</t>
  </si>
  <si>
    <t xml:space="preserve">murein5px4p</t>
  </si>
  <si>
    <t xml:space="preserve">C77H117N15O40</t>
  </si>
  <si>
    <t xml:space="preserve">InChI=1/C77H121N15O40/c1-27(62(108)83-31(5)72(118)119)81-69(115)40-16-13-17-43(74(122)123)92-65(111)30(4)82-68(114)39(15-12-14-38(78)73(120)121)90-70(116)41(18-20-49(101)102)88-64(110)29(3)80-67(113)33(7)126-61-53(87-37(11)100)77(129-48(25-96)60(61)132-75-51(85-35(9)98)55(106)54(105)45(22-93)127-75)130-58-47(24-95)128-76(52(56(58)107)86-36(10)99)131-59-46(23-94)124-26-44(84-34(8)97)57(59)125-32(6)66(112)79-28(2)63(109)89-42(71(117)91-40)19-21-50(103)104/h26-33,38-43,45-48,51-61,75-77,93-96,105-107H,12-25,78H2,1-11H3,(H,79,112)(H,80,113)(H,81,115)(H,82,114)(H,83,108)(H,84,97)(H,85,98)(H,86,99)(H,87,100)(H,88,110)(H,89,109)(H,90,116)(H,91,117)(H,92,111)(H,101,102)(H,103,104)(H,118,119)(H,120,121)(H,122,123)/p-4
AuxInfo=1/1/N:55,30,99,124,65,15,82,19,101,32,86,120,51,122,115,46,53,108,39,111,42,97,11,28,78,7,52,25,93,121,61,9,76,13,96,27,80,125,112,43,106,37,56,3,92,5,24,72,113,44,84,17,70,94,90,131,1,26,2,69,68,54,29,98,123,14,81,114,45,107,38,64,127,59,79,12,74,128,21,88,49,118,57,8,91,23,75,104,35,109,40,60,103,16,34,83,20,102,33,87,116,117,47,48,100,95,132,58,36,105,126,22,89,119,50,110,41,66,67,129,130,62,63,10,4,71,85,18,77,31,6,73/E:(101,102)(103,104)(118,119)(120,121)(122,123)/rA:136CCCOCOCNCOCCCCCOCOCONONCCCCCCCOCOONOCCCNOCCCCCO-ONOCCCCCCNOCNCO-OCCO-OCCCOCOCNCOCCCCCOCOCONOCNCCCOCCCCOCOONOCCCNOCCCCCO-ONOCCCCCCOCN+O-OCO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60s121;s121;s122;d123;s125;s125;s127;d127;s17s26;s131;s12;s26;s68;s74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12.4341,-23.0608,0;15.3464,-23.0608,0;16.5474,-15.7808,0;15.2137,-13.4708,0;12.4341,-24.6008,0;11.1003,-22.2908,0;16.8859,-23.105,0;11.1003,-25.3708,0;17.9672,-24.1687,0;11.1003,-26.9108,0;9.7668,-24.6008,0;19.7398,-24.2129,0;9.7668,-27.6808,0;12.4341,-27.6808,0;20.0629,-25.5099,0;21.5395,-23.4269,0;9.7668,-29.2208,0;18.7299,-26.471,0;21.2522,-26.6041,0;8.433,-29.9908,0;11.1003,-29.9908,0;7.0993,-29.2208,0;8.433,-31.5308,0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28.728,-24.0499,0;29.8891,-16.4931,0;27.3672,-24.771,0;30.0326,-24.8679,0;31.2499,-17.214,0;29.8331,-14.9539,0;26.0152,-24.0503,0;27.3461,-26.3816,0;29.9768,-26.407,0;24.2922,-24.8815,0;31.2818,-27.225,0;22.9402,-24.9189,0;25.7294,-25.967,0;31.226,-28.7638,0;22.0862,-26.2255,0;32.5308,-29.5818,0;29.8652,-29.4849,0;33.8916,-28.8607,0;32.475,-31.1207,0;15.7328,-8.4534,0;15.7328,-9.9934,0;13.6442,-4.6687,0;16.0401,-6.3575,0;20.0816,-10.8347,0;20.2591,-6.6911,0;
</t>
  </si>
  <si>
    <t xml:space="preserve">myrsACP[c]</t>
  </si>
  <si>
    <t xml:space="preserve">Tetradecanoyl-ACP</t>
  </si>
  <si>
    <t xml:space="preserve">C25H47N2O8PRS</t>
  </si>
  <si>
    <t xml:space="preserve">C05761</t>
  </si>
  <si>
    <t xml:space="preserve">n2[c]</t>
  </si>
  <si>
    <t xml:space="preserve">N2</t>
  </si>
  <si>
    <t xml:space="preserve">InChI=1S/N2/c1-2
AuxInfo=1/0/N:1,2/E:(1,2)/rA:2NN/rB:t1;/rC:16.1452,-1.3246,0;14.9034,-2.2355,0;
</t>
  </si>
  <si>
    <t xml:space="preserve">C00697</t>
  </si>
  <si>
    <t xml:space="preserve">n2[e]</t>
  </si>
  <si>
    <t xml:space="preserve">n2[p]</t>
  </si>
  <si>
    <t xml:space="preserve">na1[c]</t>
  </si>
  <si>
    <t xml:space="preserve">Na</t>
  </si>
  <si>
    <t xml:space="preserve">InChI=1S/Na/q+1
AuxInfo=1/0/N:1/rA:1Na+/rB:/rC:;
</t>
  </si>
  <si>
    <t xml:space="preserve">C01330</t>
  </si>
  <si>
    <t xml:space="preserve">na1[e]</t>
  </si>
  <si>
    <t xml:space="preserve">na1[p]</t>
  </si>
  <si>
    <t xml:space="preserve">nad[c]</t>
  </si>
  <si>
    <t xml:space="preserve">NAD</t>
  </si>
  <si>
    <t xml:space="preserve">C21H26N7O14P2</t>
  </si>
  <si>
    <t xml:space="preserve">InChI=1/C21H27N7O14P2/c22-17-12-19(25-7-24-17)28(8-26-12)21-16(32)14(30)11(41-21)6-39-44(36,37)42-43(34,35)38-5-10-13(29)15(31)20(40-10)27-3-1-2-9(4-27)18(23)33/h1-4,7-8,10-11,13-16,20-21,29-32H,5-6H2,(H5-,22,23,24,25,33,34,35,36,37)/p-1/t10-,11-,13-,14-,15-,16-,20-,21-/s2
AuxInfo=1/2/N:40,41,37,36,33,32,43,35,39,30,26,38,28,24,29,25,42,44,34,31,27,22,23,21,20,19,18,17,7,5,8,6,16,13,15,12,14,10,9,4,3,11,2,1/E:(34,35)(36,37)/CRV:27+1,34-1/rA:52PPOOOOOOOOOO-O-OOONN+NNNNNC.eC.oC.eC.eC.eC.oC.eC.eCCCCCCCCCCCCCHHHHHHHH/rB:;;;;;;;s1;s2;s1s2;s1;s2;d1;d2;;;;;;;;;s5;s6s24;s3s24;s3s17s25;s7;s8s28;s4s28;s4s18s29;s9s26;s10s30;s17d+20;s17d-19;d+18;s18;s19s34;s36;d-37;d-39s40;s21s22d+38;s20d-21;d16s23s39;s24;s25;s26;s27;s28;s29;s30;s31;/rC:11.5369,2.4015,0;10.9823,-.2076,0;12.5209,7.7209,0;7.8658,-3.8002,0;8.9051,6.0458,0;8.9051,9.3962,0;11.1244,-6.0939,0;8.2229,-7.7691,0;11.0611,3.8661,0;9.9519,-1.352,0;12.0127,.9367,0;13.0015,2.8773,0;12.1268,-1.2382,0;10.0723,1.9255,0;9.8379,.8228,0;1.7685,-9.0968,0;12.0915,10.4315,0;5.7331,-5.5272,0;12.0915,12.9233,0;14.8898,10.1373,0;16.2234,12.4473,0;14.8898,14.7573,0;4.3053,-9.9211,0;10.1509,6.9509,0;10.1509,8.4909,0;11.6155,6.4751,0;11.6155,8.9669,0;9.7175,-5.4675,0;8.3838,-6.2375,0;9.3974,-3.9613,0;7.2393,-5.2071,0;12.0915,5.0105,0;10.4278,-2.8168,0;13.5561,10.9073,0;11.1864,11.6773,0;5.2571,-6.9918,0;4.7025,-4.3827,0;13.5561,12.4473,0;3.7507,-7.3121,0;3.1963,-4.7031,0;2.7203,-6.1677,0;14.8898,13.2173,0;16.2234,10.9073,0;3.2749,-8.7767,0;8.6225,7.1387,0;8.6225,8.3033,0;13.1367,6.2341,0;13.1367,9.2077,0;10.3193,-6.885,0;9.3106,-7.4674,0;8.8454,-2.5235,0;6.2701,-4.0103,0;
</t>
  </si>
  <si>
    <t xml:space="preserve">C00003</t>
  </si>
  <si>
    <t xml:space="preserve">nadh[c]</t>
  </si>
  <si>
    <t xml:space="preserve">NADH</t>
  </si>
  <si>
    <t xml:space="preserve">C21H27N7O14P2</t>
  </si>
  <si>
    <t xml:space="preserve">InChI=1/C21H29N7O14P2/c22-17-12-19(25-7-24-17)28(8-26-12)21-16(32)14(30)11(41-21)6-39-44(36,37)42-43(34,35)38-5-10-13(29)15(31)20(40-10)27-3-1-2-9(4-27)18(23)33/h1,3-4,7-8,10-11,13-16,20-21,29-32H,2,5-6H2,(H2,23,33)(H,34,35)(H,36,37)(H2,22,24,25)/p-2/t10-,11-,13-,14-,15-,16-,20-,21-/s2
AuxInfo=1/1/N:41,40,37,35,33,32,44,36,39,30,26,38,28,24,29,25,42,43,34,31,27,22,23,21,20,19,18,17,7,5,8,6,16,13,15,12,14,10,9,4,3,11,2,1/E:(34,35)(36,37)/rA:52PPOOOOOOOOOO-O-OOONNNNNNNC.eC.oC.eC.eC.eC.oC.eC.eCCCCCCCCCCCCCHHHHHHHH/rB:;;;;;;;s1;s2;s1s2;s1;s2;d1;d2;;;;;;;;;s5;s6s24;s3s24;s3s17s25;s7;s8s28;s4s28;s4s18s29;s9s26;s10s30;s17d+20;s18;s17d-19;s18;s19s34;d-35;s39;d-37s40;s21s22d+38;d16s23s39;s20d-21;s24;s25;s26;s27;s28;s29;s30;s31;/rC:11.7497,2.6223,0;11.1951,.0133,0;12.7337,7.9417,0;8.0786,-3.5793,0;9.1179,6.2666,0;9.1179,9.6171,0;11.3372,-5.8731,0;8.4357,-7.5482,0;11.2739,4.0869,0;10.1647,-1.1312,0;12.2255,1.1575,0;13.2143,3.0981,0;12.3396,-1.0173,0;10.2851,2.1463,0;10.0507,1.0437,0;1.9813,-8.876,0;12.3043,10.6523,0;5.9459,-5.3064,0;12.3043,13.1441,0;15.1026,10.3581,0;16.4364,12.6681,0;15.1026,14.9781,0;4.5181,-9.7003,0;10.3637,7.1717,0;10.3637,8.7117,0;11.8283,6.6959,0;11.8283,9.1877,0;9.9303,-5.2466,0;8.5966,-6.0166,0;9.6102,-3.7404,0;7.4521,-4.9862,0;12.3043,5.2313,0;10.6406,-2.596,0;13.7689,11.1281,0;5.4699,-6.771,0;11.3992,11.8981,0;4.9153,-4.1619,0;13.7689,12.6681,0;3.9637,-7.0913,0;2.9331,-5.9468,0;3.4091,-4.4822,0;15.1026,13.4381,0;3.4877,-8.5559,0;16.4364,11.1281,0;8.8353,7.3595,0;8.8353,8.5241,0;13.3495,6.4549,0;13.3495,9.4285,0;10.5321,-6.6642,0;9.5234,-7.2466,0;9.0582,-2.3027,0;6.4829,-3.7895,0;
</t>
  </si>
  <si>
    <t xml:space="preserve">C00004</t>
  </si>
  <si>
    <t xml:space="preserve">nadp[c]</t>
  </si>
  <si>
    <t xml:space="preserve">NADP</t>
  </si>
  <si>
    <t xml:space="preserve">C21H25N7O17P3</t>
  </si>
  <si>
    <t xml:space="preserve"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
AuxInfo=1/2/N:45,46,42,41,37,36,47,39,43,34,31,40,32,29,33,28,44,48,38,35,30,26,27,25,24,23,22,21,9,7,10,20,13,14,15,17,19,16,18,11,8,5,4,6,12,1,3,2/E:(33,34,35)(36,37)(38,39)/it:im/CRV:27+1,36-1/rA:48PPPOOOOOOOOOO-O-OO-O-OOONN+NNNNNC.eC.oC.oC.oC.oC.eC.oC.oCCCCCCCCCCCCC/rB:;;;;s1;;s2;;;s3;s2s3;s1;s1;d1;s2;s3;d2;d3;;;;;;;;;s6;s7s28;s4s21s28;s4s29;s9;s10s32;s5s32;s5s22s33;s8s31;s11s34;s21d+24;s21d-23;s23s38;d+22;s22;s41;s25s26d+40;d-42;d-43s45;s24d-25;d20s27s43;/rC:20.8298,-5.7639,0;14.2639,-.2083,0;12.2847,1.5799,0;15.809,-4.7064,0;8.1758,5.0988,0;19.4219,-6.3879,0;19.4277,-3.0374,0;14.7371,-1.6738,0;7.8118,1.1305,0;4.9131,2.8108,0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14.7765,-9.427,0;6.0939,7.5505,0;4.1085,5.7693,0;5.0654,8.6968,0;13.4428,-10.197,0;3.08,6.9154,0;3.5586,8.3793,0;12.1093,-7.887,0;5.5438,10.1608,0;
</t>
  </si>
  <si>
    <t xml:space="preserve">C00006</t>
  </si>
  <si>
    <t xml:space="preserve">nadph[c]</t>
  </si>
  <si>
    <t xml:space="preserve">NADPH</t>
  </si>
  <si>
    <t xml:space="preserve">C21H26N7O17P3</t>
  </si>
  <si>
    <t xml:space="preserve"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
AuxInfo=1/1/N:45,44,42,40,37,36,47,39,43,34,31,41,32,29,33,28,46,48,38,35,30,26,27,25,24,23,22,21,8,7,9,20,13,14,15,17,19,16,18,11,10,5,4,6,12,1,3,2/E:(33,34,35)(36,37)(38,39)/it:im/rA:48PPPOOOOOOOOOO-O-OO-O-OOONNNNNNNC.eC.oC.oC.oC.oC.eC.oC.oCCCCCCCCCCCCC/rB:;;;;s1;;;;s2;s3;s2s3;s1;s1;d1;s2;s3;d2;d3;;;;;;;;;s6;s7s28;s4s21s28;s4s29;s8;s9s32;s5s32;s5s22s33;s10s31;s11s34;s21d+24;s21d-23;s22;s23s38;s22;d-40;s43;d-42s44;s25s26d+41;s24d-25;d20s27s43;/rC:20.8298,-5.7639,0;14.2639,-.2083,0;12.2847,1.5799,0;15.809,-4.7064,0;8.1758,5.0988,0;19.4219,-6.3879,0;19.4277,-3.0374,0;7.8118,1.1305,0;4.9131,2.8108,0;14.7371,-1.6738,0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6.0939,7.5505,0;14.7765,-9.427,0;4.1085,5.7693,0;5.0654,8.6968,0;3.5586,8.3793,0;3.08,6.9154,0;13.4428,-10.197,0;12.1093,-7.887,0;5.5438,10.1608,0;
</t>
  </si>
  <si>
    <t xml:space="preserve">C00005</t>
  </si>
  <si>
    <t xml:space="preserve">nh4[c]</t>
  </si>
  <si>
    <t xml:space="preserve">NH4</t>
  </si>
  <si>
    <t xml:space="preserve">H4N</t>
  </si>
  <si>
    <t xml:space="preserve">InChI=1S/H3N/h1H3/p+1
AuxInfo=1/1/N:1/rA:5N+HHHH/rB:s1;s1;s1;s1;/rC:6.3017,0,0;7.6356,.77,0;4.9679,-.77,0;5.5317,1.3337,0;7.0717,-1.3337,0;
</t>
  </si>
  <si>
    <t xml:space="preserve">C01342</t>
  </si>
  <si>
    <t xml:space="preserve">nh4[e]</t>
  </si>
  <si>
    <t xml:space="preserve">nh4[p]</t>
  </si>
  <si>
    <t xml:space="preserve">nicrnt[c]</t>
  </si>
  <si>
    <t xml:space="preserve">Nicotinate_D-ribonucleotide</t>
  </si>
  <si>
    <t xml:space="preserve">C11H12NO9P</t>
  </si>
  <si>
    <t xml:space="preserve">InChI=1/C11H14NO9P/c13-8-7(5-20-22(17,18)19)21-10(9(8)14)12-3-1-2-6(4-12)11(15)16/h1-4,7-10,13-14H,5H2,(H2-,15,16,17,18,19)/p-2/t7-,8-,9-,10-/s2
AuxInfo=1/2/N:20,21,18,17,16,19,14,12,13,15,22,11,3,4,9,10,6,7,8,5,2,1/E:(15,16)(17,18,19)/CRV:12+1,15-1/rA:34POOOOO-O-OO-ON+C.eC.oC.eC.eCCCCCCCHHHHHHHHHHHH/rB:;;;s1;s1;s1;d1;;;;s3;s4s12;s2s12;s2s11s13;s5s14;d+11;s11;s17;d-18;d-19s20;s9d10s19;s12;s13;s14;s15;s16;s16;s3;s4;s17;s18;s20;s21;/rC:4.9347,-5.0462,0;7.801,-1.2507,0;10.7219,-3.9613,0;11.7574,-.7749,0;5.8401,-3.8002,0;4.0296,-6.292,0;3.6889,-4.141,0;6.1807,-5.9511,0;6.3793,5.8147,0;5.0456,3.5047,0;9.0468,1.1947,0;9.8168,-2.7153,0;10.2926,-1.2507,0;8.2768,-2.7153,0;9.0468,-.3453,0;7.3715,-3.9613,0;7.7131,1.9647,0;10.3803,1.9647,0;7.7131,3.5047,0;10.3803,3.5047,0;9.0468,4.2747,0;6.3793,4.2747,0;9.3834,-3.5661,0;10.9678,-1.9258,0;7.3338,-2.5659,0;9.8974,.0881,0;7.1085,-4.8791,0;8.2298,-4.3798,0;10.3337,-4.8335,0;12.4669,-1.4136,0;6.8861,1.4872,0;11.2073,1.4872,0;11.2073,3.982,0;9.0468,5.2295,0;
</t>
  </si>
  <si>
    <t xml:space="preserve">C01185</t>
  </si>
  <si>
    <t xml:space="preserve">nodcaACP[c]</t>
  </si>
  <si>
    <t xml:space="preserve">Nonadecanoyl-ACP</t>
  </si>
  <si>
    <t xml:space="preserve">C30H57N2O8PRS</t>
  </si>
  <si>
    <t xml:space="preserve">noncaACP[c]</t>
  </si>
  <si>
    <t xml:space="preserve">2-trans-Nonadecenoyl-ACP</t>
  </si>
  <si>
    <t xml:space="preserve">C30H55N2O8PRS</t>
  </si>
  <si>
    <t xml:space="preserve">o2[c]</t>
  </si>
  <si>
    <t xml:space="preserve">O2</t>
  </si>
  <si>
    <t xml:space="preserve">InChI=1S/O2/c1-2
AuxInfo=1/0/N:1,2/E:(1,2)/rA:2OO/rB:d1;/rC:2,0,0;3,0,0;
</t>
  </si>
  <si>
    <t xml:space="preserve">C00007</t>
  </si>
  <si>
    <t xml:space="preserve">o2[e]</t>
  </si>
  <si>
    <t xml:space="preserve">o2[p]</t>
  </si>
  <si>
    <t xml:space="preserve">oaa[c]</t>
  </si>
  <si>
    <t xml:space="preserve">Oxaloacetate</t>
  </si>
  <si>
    <t xml:space="preserve">C4H2O5</t>
  </si>
  <si>
    <t xml:space="preserve">InChI=1S/C4H4O5/c5-2(4(8)9)1-3(6)7/h1H2,(H,6,7)(H,8,9)/p-2
AuxInfo=1/1/N:6,7,8,9,2,1,4,3,5/E:(6,7)(8,9)/rA:11O-OO-OOCCCCHH/rB:;;;;;d2s6;s1d4s6;s3d5s7;s6;s6;/rC:3.9066,.3851,0;7.9074,-1.9249,0;10.5747,-.3851,0;5.2401,-1.9249,0;9.2407,1.9249,0;6.5738,.3851,0;7.9074,-.3851,0;5.2401,-.3851,0;9.2407,.3851,0;7.1874,1.1163,0;5.9601,1.1163,0;
</t>
  </si>
  <si>
    <t xml:space="preserve">C00036</t>
  </si>
  <si>
    <t xml:space="preserve">ocACP[c]</t>
  </si>
  <si>
    <t xml:space="preserve">Octanoyl-ACP</t>
  </si>
  <si>
    <t xml:space="preserve">C19H35N2O8PRS</t>
  </si>
  <si>
    <t xml:space="preserve">C05752</t>
  </si>
  <si>
    <t xml:space="preserve">ocdcaACP[c]</t>
  </si>
  <si>
    <t xml:space="preserve">Octadecanoyl-ACP</t>
  </si>
  <si>
    <t xml:space="preserve">C29H55N2O8PRS</t>
  </si>
  <si>
    <t xml:space="preserve">C04088</t>
  </si>
  <si>
    <t xml:space="preserve">octdp[c]</t>
  </si>
  <si>
    <t xml:space="preserve">all-trans-Octaprenyl_diphosphate</t>
  </si>
  <si>
    <t xml:space="preserve">C40H65O7P2</t>
  </si>
  <si>
    <t xml:space="preserve">InChI=1S/C40H68O7P2/c1-33(2)17-10-18-34(3)19-11-20-35(4)21-12-22-36(5)23-13-24-37(6)25-14-26-38(7)27-15-28-39(8)29-16-30-40(9)31-32-46-49(44,45)47-48(41,42)43/h17,19,21,23,25,27,29,31H,10-16,18,20,22,24,26,28,30,32H2,1-9H3,(H,44,45)(H2,41,42,43)/p-2/b34-19+,35-21+,36-23+,37-25+,38-27+,39-29+,40-31+
AuxInfo=1/1/N:48,49,42,38,33,31,36,39,44,40,25,15,13,14,19,29,43,35,30,20,26,12,22,10,23,11,27,21,34,37,45,47,46,32,24,17,16,18,28,41,7,8,9,5,6,3,4,2,1/E:(1,2)(41,42,43)(44,45)/rA:115PPOOO-OO-OOCCCCCCCCCCCCCCCCCCCCCCCCCCCCCCCCCCCCCCCCHHHHHHHHHHHHHHHHHHHHHHHHHHHHHHHHHHHHHHHHHHHHHHHHHHHHHHHHHHHHHHHHHH/rB:;s1;s1s2;s1;d1;s2;s2;d2;;;;s10;s11;s12;s10;s12;s11;;;s19;s13d+17;s14d+16;s20;s20;s15d+24;d+18s19;s21;;s25;s16;d+30;s17;d+28s29;s32;s18;s29;s24;s28;s35;s37;s32;s40;s41;d+41;d+43;s3s45;s46;s46;s10;s10;s11;s11;s12;s12;s13;s13;s14;s14;s15;s15;s19;s19;s20;s20;s21;s21;s22;s23;s25;s25;s26;s27;s29;s29;s30;s31;s31;s31;s34;s33;s33;s33;s35;s35;s36;s36;s36;s37;s37;s38;s38;s38;s40;s40;s39;s39;s39;s42;s42;s42;s43;s44;s44;s44;s45;s47;s47;s49;s49;s49;s48;s48;s48;s8;/rC:47.0925,-.2178,0;49.7599,-.2178,0;45.7587,-.9878,0;48.4262,.5522,0;46.3225,1.1157,0;47.8625,-1.5516,0;51.0935,-.9878,0;50.5299,1.1157,0;48.9899,-1.5516,0;24.4194,-.9878,0;29.7543,-.9878,0;19.0846,-.9878,0;23.0858,-.2178,0;28.4206,-.2178,0;17.7509,-.2178,0;25.7531,-.2178,0;20.4182,-.2178,0;31.0878,-.2178,0;33.7553,-.2178,0;13.7497,-.9878,0;35.089,-.9878,0;21.7521,-.9878,0;27.0868,-.9878,0;15.0834,-.2178,0;12.4161,-.2178,0;16.4171,-.9878,0;32.4218,-.9878,0;36.4228,-.2178,0;39.0902,-.2178,0;11.0824,-.9878,0;25.7531,1.3222,0;9.7485,-.2178,0;20.4182,1.3222,0;37.7565,-.9878,0;8.4149,-.9878,0;31.0878,1.3222,0;40.424,-.9878,0;15.0834,1.3222,0;36.4228,1.3222,0;7.0812,-.2178,0;41.7575,-.2178,0;9.7485,1.3222,0;5.7475,-.9878,0;41.7575,1.3222,0;43.0914,-.9878,0;4.4137,-.2178,0;44.425,-.2178,0;3.08,-.9878,0;4.4137,1.3222,0;23.8056,-1.7194,0;25.0331,-1.7194,0;29.1405,-1.7194,0;30.3679,-1.7194,0;18.4709,-1.7194,0;19.6982,-1.7194,0;23.6994,.5135,0;22.4721,.5135,0;29.0343,.5135,0;27.8068,.5135,0;18.3646,.5135,0;17.1371,.5135,0;34.3691,.5135,0;33.1417,.5135,0;13.1361,-1.7194,0;14.3634,-1.7194,0;34.4753,-1.7194,0;35.7028,-1.7194,0;21.7521,-1.9428,0;27.0868,-1.9428,0;13.0297,.5135,0;11.8022,.5135,0;16.4171,-1.9428,0;32.4218,-1.9428,0;39.704,.5135,0;38.4765,.5135,0;11.0824,-1.9428,0;26.7079,1.3222,0;25.7531,2.277,0;24.7983,1.3222,0;37.7565,-1.9428,0;21.373,1.3222,0;20.4182,2.277,0;19.4634,1.3222,0;7.8012,-1.7194,0;9.0287,-1.7194,0;32.0426,1.3222,0;31.0878,2.277,0;30.133,1.3222,0;39.8102,-1.7194,0;41.0375,-1.7194,0;16.0382,1.3222,0;15.0834,2.277,0;14.1286,1.3222,0;7.695,.5135,0;6.4674,.5135,0;37.3776,1.3222,0;36.4228,2.277,0;35.468,1.3222,0;10.7035,1.3222,0;9.7485,2.277,0;8.7937,1.3222,0;5.7475,-1.9428,0;42.7123,1.3222,0;41.7575,2.277,0;40.8027,1.3222,0;43.0914,-1.9428,0;45.0387,.5135,0;43.8114,.5135,0;5.3685,1.3222,0;4.4137,2.277,0;3.4589,1.3222,0;2.6027,-.1609,0;2.2533,-1.4653,0;3.5575,-1.8148,0;50.0524,1.9428,0;
</t>
  </si>
  <si>
    <t xml:space="preserve">C04146</t>
  </si>
  <si>
    <t xml:space="preserve">octeACP[c]</t>
  </si>
  <si>
    <t xml:space="preserve">cis-Octadecenoyl-ACP</t>
  </si>
  <si>
    <t xml:space="preserve">ohpb[c]</t>
  </si>
  <si>
    <t xml:space="preserve">2-Oxo-3-hydroxy-4-phosphobutanoate</t>
  </si>
  <si>
    <t xml:space="preserve">C4H4O8P</t>
  </si>
  <si>
    <t xml:space="preserve">InChI=1/C4H7O8P/c5-2(3(6)4(7)8)1-12-13(9,10)11/h2,5H,1H2,(H,7,8)(H2,9,10,11)/p-3/t2-/s2
AuxInfo=1/1/N:11,10,12,13,3,6,8,9,4,5,7,2,1/E:(7,8)(9,10,11)/rA:17POOO-O-OOO-OC.oCCCHHHH/rB:s1;;s1;s1;;d1;;;s3;s2s10;d6s10;s8d9s12;s10;s11;s11;s3;/rC:5.241,-.6237,0;6.575,.1463,0;9.2424,1.6865,0;3.9073,-1.3938,0;4.471,.7099,0;10.5763,-2.164,0;6.011,-1.9576,0;13.2438,-.6237,0;11.9101,1.6865,0;9.2424,.1463,0;7.9087,-.6237,0;10.5763,-.6237,0;11.9101,.1463,0;10.0695,.6237,0;7.2949,-1.3552,0;8.5223,-1.3552,0;10.0695,2.164,0;
</t>
  </si>
  <si>
    <t xml:space="preserve">C06054</t>
  </si>
  <si>
    <t xml:space="preserve">orn[c]</t>
  </si>
  <si>
    <t xml:space="preserve">L-Ornithine</t>
  </si>
  <si>
    <t xml:space="preserve">C5H13N2O2</t>
  </si>
  <si>
    <t xml:space="preserve">InChI=1/C5H12N2O2/c6-3-1-2-4(7)5(8)9/h4H,1-3,6-7H2,(H,8,9)/p+1
AuxInfo=1/1/N:6,5,8,7,9,4,3,1,2/E:(8,9)/rA:9O-ON+N+CCCCC/rB:;;;;s5;s3s5;s4s6;s1d2s7;/rC:9.2417,1.6324,0;7.9081,3.9424,0;5.2407,2.4024,0;3.9069,-2.9876,0;6.5744,.0924,0;5.2407,-.6776,0;6.5744,1.6324,0;5.2407,-2.2176,0;7.9081,2.4024,0;
</t>
  </si>
  <si>
    <t xml:space="preserve">C00077</t>
  </si>
  <si>
    <t xml:space="preserve">orot5p[c]</t>
  </si>
  <si>
    <t xml:space="preserve">Orotidine_5'-phosphate</t>
  </si>
  <si>
    <t xml:space="preserve">C10H10N2O11P</t>
  </si>
  <si>
    <t xml:space="preserve">InChI=1/C10H13N2O11P/c13-5-1-3(9(16)17)12(10(18)11-5)8-7(15)6(14)4(23-8)2-22-24(19,20)21/h1,4,6-8,14-15H,2H2,(H,16,17)(H,11,13,18)(H2,19,20,21)/p-3/t4-,6-,7-,8-/s2
AuxInfo=1/1/N:22,19,20,18,23,16,15,17,24,21,14,13,10,4,3,7,11,6,8,9,12,5,2,1/E:(16,17)(19,20,21)/rA:34POOOOOO-O-O-OOONNC.oC.eC.eC.eCCCCCCHHHHHHHHHH/rB:;;;s1;;;s1;s1;;;d1;;;s3;s4s15;s2s13s15;s2s16;s5s18;s13;d6s13s14;d-20;d10s14s22;s7d11s20;s15;s16;s17;s18;s19;s19;s3;s4;s22;s14;/rC:4.9347,-4.8074,0;7.801,-1.0119,0;11.7574,-.5361,0;10.7219,-3.7225,0;5.8401,-3.5614,0;11.7141,1.4332,0;5.0456,2.2032,0;4.0296,-6.0532,0;3.6889,-3.9023,0;9.0468,6.0532,0;6.3793,-.1068,0;6.1807,-5.7126,0;9.0468,1.4332,0;10.3803,3.7432,0;10.2926,-1.0119,0;9.8168,-2.4767,0;9.0468,-.1068,0;8.2768,-2.4767,0;7.3715,-3.7225,0;7.7131,2.2032,0;10.3803,2.2032,0;7.7131,3.7432,0;9.0468,4.5132,0;6.3793,1.4332,0;10.9678,-1.6871,0;9.3834,-3.3273,0;9.8974,.3269,0;7.3338,-2.3272,0;7.1085,-4.6403,0;8.2298,-4.141,0;12.4669,-1.1749,0;10.3337,-4.5948,0;6.8861,4.2207,0;11.2073,4.2207,0;
</t>
  </si>
  <si>
    <t xml:space="preserve">C01103</t>
  </si>
  <si>
    <t xml:space="preserve">orot[c]</t>
  </si>
  <si>
    <t xml:space="preserve">Orotate</t>
  </si>
  <si>
    <t xml:space="preserve">C5H3N2O4</t>
  </si>
  <si>
    <t xml:space="preserve">InChI=1S/C5H4N2O4/c8-3-1-2(4(9)10)6-5(11)7-3/h1H,(H,9,10)(H2,6,7,8,11)/p-1
AuxInfo=1/1/N:8,7,10,11,9,5,6,2,3,4,1/E:(9,10)/rA:14OOO-ONNCCCCCHHH/rB:;;;;;s5;d-7;d1s5s6;d2s6s8;s3d4s7;s5;s8;s6;/rC:10.5756,-1.54,0;7.9081,3.08,0;3.9069,-.77,0;5.2407,-3.08,0;7.9081,-1.54,0;9.2417,.77,0;6.5744,-.77,0;6.5744,.77,0;9.2417,-.77,0;7.9081,1.54,0;5.2407,-1.54,0;7.9081,-2.4948,0;5.7475,1.2475,0;10.0688,1.2475,0;
</t>
  </si>
  <si>
    <t xml:space="preserve">C00295</t>
  </si>
  <si>
    <t xml:space="preserve">osuc[c]</t>
  </si>
  <si>
    <t xml:space="preserve">Oxalosuccinate</t>
  </si>
  <si>
    <t xml:space="preserve">C6H3O7</t>
  </si>
  <si>
    <t xml:space="preserve">InChI=1/C6H6O7/c7-3(8)1-2(5(10)11)4(9)6(12)13/h2H,1H2,(H,7,8)(H,10,11)(H,12,13)/p-3
AuxInfo=1/1/N:4,5,2,9,6,11,1,3,10,7,8,12,13/E:(7,8)(10,11)(12,13)/rA:13O-COCCCO-OCOCO-O/rB:s1;d2;s2;s4;s5;s6;d6;s5;d9;s9;s11;d11;/rC:3.2863,3.4373,0;4.62,2.6673,0;4.62,1.1273,0;5.9537,3.4373,0;7.2873,2.6673,0;7.2873,1.1273,0;8.621,.3573,0;5.9537,.3573,0;8.621,3.4373,0;8.621,4.9773,0;9.9547,2.6673,0;11.2885,3.4373,0;9.9547,1.1273,0;
</t>
  </si>
  <si>
    <t xml:space="preserve">C05379</t>
  </si>
  <si>
    <t xml:space="preserve">palmACP[c]</t>
  </si>
  <si>
    <t xml:space="preserve">Hexadecanoyl-ACP</t>
  </si>
  <si>
    <t xml:space="preserve">C27H51N2O8PRS</t>
  </si>
  <si>
    <t xml:space="preserve">C05764</t>
  </si>
  <si>
    <t xml:space="preserve">pant-R[c]</t>
  </si>
  <si>
    <t xml:space="preserve">R-Pantoate</t>
  </si>
  <si>
    <t xml:space="preserve">InChI=1/C6H12O4/c1-6(2,3-7)4(8)5(9)10/h4,7-8H,3H2,1-2H3,(H,9,10)/p-1/t4-/s2
AuxInfo=1/1/N:8,9,7,6,10,5,2,1,3,4/E:(1,2)(9,10)/rA:21OOO-OCC.oCCCCHHHHHHHHHHH/rB:;;;;s1s5;s2s5;s5;s5;s3d4s6;s6;s7;s7;s8;s8;s8;s9;s9;s9;s1;s2;/rC:7.9087,1.6865,0;3.9073,-.6237,0;10.5763,.1463,0;9.2424,-2.164,0;6.575,-.6237,0;7.9087,.1463,0;5.241,-1.3938,0;5.8048,.7099,0;7.345,-1.9576,0;9.2424,-.6237,0;8.7356,.6237,0;4.6273,-2.1254,0;5.8548,-2.1254,0;6.6317,1.1874,0;5.3273,1.5372,0;4.9778,.2326,0;6.518,-2.4351,0;7.8225,-2.7845,0;8.1719,-1.4801,0;8.7356,2.164,0;3.0802,-1.1011,0;
</t>
  </si>
  <si>
    <t xml:space="preserve">C00522</t>
  </si>
  <si>
    <t xml:space="preserve">pap[c]</t>
  </si>
  <si>
    <t xml:space="preserve">PAP</t>
  </si>
  <si>
    <t xml:space="preserve">C10H11N5O10P2</t>
  </si>
  <si>
    <t xml:space="preserve">InChI=1/C10H15N5O10P2/c11-8-5-9(13-2-12-8)15(3-14-5)10-6(16)7(25-27(20,21)22)4(24-10)1-23-26(17,18)19/h2-4,6-7,10,16H,1H2,(H2,11,12,13)(H2,17,18,19)(H2,20,21,22)/p-4/t4-,6-,7-,10-/s2
AuxInfo=1/1/N:22,27,24,20,25,19,18,26,23,21,17,16,15,14,13,5,10,11,12,7,8,9,6,3,4,2,1/E:(17,18,19)(20,21,22)/rA:38PPOOOOO-O-OO-O-ONNNNNC.eC.oC.eC.eCCCCCCHHHHHHHHHHH/rB:;;s1;;s2;s1;s1;d1;s2;s2;d2;;;;;;s4;s5s18;s3s18;s3s13s19;s6s20;s13d+15;s13d-14;s14s23;s16s17d+25;s15d-16;s18;s19;s20;s21;s22;s22;s5;s24;s27;s17;s17;/rC:10.2594,3.873,0;5.2539,5.1703,0;6.7991,.6722,0;10.4177,2.3412,0;10.4119,-1.0093,0;5.7273,3.7048,0;10.1011,5.4047,0;11.7912,4.0313,0;8.7276,3.7147,0;4.7805,6.6356,0;3.7884,4.6969,0;6.7194,5.6435,0;7.2238,-2.0391,0;7.2238,-4.5177,0;4.4328,-1.7384,0;3.099,-4.0484,0;4.4328,-6.3584,0;9.1704,1.4381,0;9.1676,-.1019,0;7.7065,1.9165,0;7.7022,-.5753,0;7.2331,3.382,0;5.7665,-2.5084,0;8.1224,-3.2784,0;5.7665,-4.0484,0;4.4328,-4.8184,0;3.099,-2.5084,0;9.0225,2.3813,0;10.019,.33,0;6.7635,2.0675,0;6.7588,-.723,0;8.1788,3.5133,0;7.2681,4.3363,0;11.2849,-.6225,0;9.0772,-3.2784,0;2.2723,-2.0309,0;3.606,-6.8357,0;5.2597,-6.8357,0;
</t>
  </si>
  <si>
    <t xml:space="preserve">C00054</t>
  </si>
  <si>
    <t xml:space="preserve">paps[c]</t>
  </si>
  <si>
    <t xml:space="preserve">3-Phosphoadenylyl_sulfate</t>
  </si>
  <si>
    <t xml:space="preserve">C10H11N5O13P2S</t>
  </si>
  <si>
    <t xml:space="preserve">InChI=1/C10H15N5O13P2S/c11-8-5-9(13-2-12-8)15(3-14-5)10-6(16)7(27-29(17,18)19)4(26-10)1-25-30(20,21)28-31(22,23)24/h2-4,6-7,10,16H,1H2,(H,20,21)(H2,11,12,13)(H2,17,18,19)(H,22,23,24)/p-4/t4-,6-,7-,10-/s2
AuxInfo=1/1/N:26,31,28,24,29,23,22,30,27,25,21,20,19,18,17,6,8,9,10,12,13,14,15,16,7,4,5,11,2,3,1/E:(17,18,19)(20,21)(22,23,24)/CRV:31.6/rA:42SPPOOOOO-O-OOO-OO-OONNNNNC.eC.oC.eC.eCCCCCCHHHHHHHHHHH/rB:;;;s2;;s3;s2;s2;d2;s1s3;s3;d3;s1;d1;d1;;;;;;s5;s6s22;s4s22;s4s17s23;s7s24;s17d+19;s17d-18;s18s27;s20s21d+29;s19d-20;s22;s23;s24;s25;s26;s26;s6;s28;s31;s21;s21;/rC:4.8793,6.1441,0;11.8638,3.0587,0;6.8583,4.3559,0;8.4037,-.1421,0;12.0223,1.5269,0;12.0163,-1.8235,0;7.3319,2.8905,0;11.7055,4.5905,0;13.3958,3.217,0;10.332,2.9004,0;6.3849,5.8214,0;5.393,3.8827,0;8.3238,4.8293,0;3.3734,6.4669,0;5.2022,7.65,0;4.5565,4.6385,0;8.8282,-2.8534,0;8.8282,-5.3319,0;6.0374,-2.5525,0;4.7036,-4.8625,0;6.0374,-7.1725,0;10.7748,.6238,0;10.772,-.9162,0;9.3109,1.1023,0;9.3066,-1.3895,0;8.8375,2.5678,0;7.3711,-3.3225,0;9.727,-4.0925,0;7.3711,-4.8625,0;6.0374,-5.6325,0;4.7036,-3.3225,0;11.6247,.1889,0;10.6211,-1.859,0;8.3681,1.2533,0;8.3632,-1.5372,0;9.7834,2.699,0;8.8726,3.5218,0;12.8893,-1.4366,0;10.6818,-4.0925,0;3.8769,-2.8452,0;5.2104,-7.65,0;6.8643,-7.65,0;
</t>
  </si>
  <si>
    <t xml:space="preserve">C00053</t>
  </si>
  <si>
    <t xml:space="preserve">pdx5p[c]</t>
  </si>
  <si>
    <t xml:space="preserve">Pyridoxine_phosphate</t>
  </si>
  <si>
    <t xml:space="preserve">C8H10NO6P</t>
  </si>
  <si>
    <t xml:space="preserve">InChI=1S/C8H12NO6P/c1-5-8(11)7(3-10)6(2-9-5)4-15-16(12,13)14/h2,10-11H,3-4H2,1H3,(H2,12,13,14)/p-2
AuxInfo=1/1/N:16,15,14,11,13,10,9,12,8,4,3,5,6,7,2,1/E:(12,13,14)/rA:26POOOO-O-ONCCCCCCCCHHHHHHHHHH/rB:s1;;;s1;s1;d1;;;s9;s2s10;s3d+9;d-8s12;s4s9;s8d-10;s13;s11;s11;s14;s14;s15;s16;s16;s16;s3;s4;/rC:11.9091,-.0924,0;10.5756,-.8624,0;3.9069,-.0924,0;5.2407,2.2176,0;13.2429,.6776,0;12.6793,-1.4261,0;11.1391,1.2413,0;6.5744,-3.1724,0;6.5744,-.0924,0;7.9081,-.8624,0;9.2417,-.0924,0;5.2407,-.8624,0;5.2407,-2.4024,0;6.5744,1.4476,0;7.9081,-2.4024,0;3.9069,-3.1724,0;9.8556,.639,0;8.6281,.639,0;7.5148,1.2818,0;6.9009,2.3449,0;8.7351,-2.8799,0;3.4294,-2.3457,0;3.08,-3.6499,0;4.3842,-3.9993,0;3.08,-.5699,0;5.2407,3.1724,0;
</t>
  </si>
  <si>
    <t xml:space="preserve">C00627</t>
  </si>
  <si>
    <t xml:space="preserve">pe_AFE[c]</t>
  </si>
  <si>
    <t xml:space="preserve">Phosphatidylethanolamine-AFE</t>
  </si>
  <si>
    <t xml:space="preserve">pep[c]</t>
  </si>
  <si>
    <t xml:space="preserve">Phosphoenolpyruvate</t>
  </si>
  <si>
    <t xml:space="preserve">C3H2O6P</t>
  </si>
  <si>
    <t xml:space="preserve">InChI=1S/C3H5O6P/c1-2(3(4)5)9-10(6,7)8/h1H2,(H,4,5)(H2,6,7,8)/p-3
AuxInfo=1/1/N:10,8,9,6,7,3,4,5,2,1/E:(4,5)(6,7,8)/rA:10POO-O-OO-OCCC/rB:s1;s1;s1;d1;;;s2;s6d7s8;d8;/rC:5.2407,-.3851,0;6.5744,.3851,0;3.9069,-1.1551,0;4.4707,.9486,0;6.0107,-1.7186,0;10.5756,-.3851,0;9.2417,1.9251,0;7.9081,-.3851,0;9.2417,.3851,0;7.9081,-1.9251,0;
</t>
  </si>
  <si>
    <t xml:space="preserve">C00074</t>
  </si>
  <si>
    <t xml:space="preserve">pg120[c]</t>
  </si>
  <si>
    <t xml:space="preserve">Phosphatidylglycerol-AFE</t>
  </si>
  <si>
    <t xml:space="preserve">C30H58O10P</t>
  </si>
  <si>
    <t xml:space="preserve">InChI=1/C30H59O10P/c1-3-5-7-9-11-13-15-17-19-21-29(33)37-25-28(26-39-41(35,36)38-24-27(32)23-31)40-30(34)22-20-18-16-14-12-10-8-6-4-2/h27-28,31-32H,3-26H2,1-2H3,(H,35,36)/p-1
AuxInfo=1/1/N:28,41,27,40,26,39,25,38,23,36,21,34,19,32,17,30,16,29,18,31,20,33,12,7,10,6,9,8,22,35,15,13,24,37,1,5,14,4,3,11,2/E:(35,36)/rA:99O-POOOCCCCCOCOOOCCCCCCCCOCCCCCCCCCCCCOCCCCHHHHHHHHHHHHHHHHHHHHHHHHHHHHHHHHHHHHHHHHHHHHHHHHHHHHHHHHHH/rB:s1;s2;s2;d2;s3;s4;s6;s7;s8;s8;s9;s9;s10;s12;;s16;s16;s17;s18;s19;s14s20;s21;d22;s23;s25;s26;s27;;s29;s29;s30;s31;s32;s11s33;s34;d35;s36;s38;s39;s40;s6;s6;s7;s7;s8;s9;s10;s10;s12;s12;s13;s15;s16;s16;s17;s17;s18;s18;s19;s19;s20;s20;s21;s21;s23;s23;s25;s25;s26;s26;s27;s27;s28;s28;s28;s29;s29;s30;s30;s31;s31;s32;s32;s33;s33;s34;s34;s36;s36;s38;s38;s39;s39;s40;s40;s41;s41;s41;/rC:1.7336,-5.4917,0;1.8194,-3.9654,0;2.0974,-2.4552,0;.2972,-4.2052,0;3.3397,-4.0738,0;.8805,-1.4112,0;-.3293,-2.8454,0;.6365,.0831,0;-1.8676,-2.8114,0;-.384,1.3311,0;2.1465,.3198,0;-2.5937,-1.4958,0;-3.2642,-3.4739,0;-1.9005,1.3134,0;-4.0516,-.8542,0;-7.1195,.5805,0;-8.3892,1.3989,0;-5.8843,1.5195,0;-9.8198,.8544,0;-4.5735,.7515,0;-11.1272,1.674,0;-3.4154,1.7528,0;-12.5029,.9822,0;-3.1334,3.2379,0;-13.8094,1.7976,0;-15.2481,1.246,0;-16.5917,2.0238,0;-17.9456,1.2891,0;7.1562,.1995,0;8.6191,-.4002,0;5.7994,-.4415,0;9.923,.4161,0;4.7374,.7198,0;11.1774,-.4917,0;3.5254,-.1975,0;12.5888,.1251,0;3.6217,-1.7201,0;13.9041,-.7276,0;15.3546,-.2335,0;16.6839,-1.0087,0;17.9805,-.1686,0;-.5757,-1.9128,0;-.6115,-1.0295,0;1.027,-2.1161,0;-1.1271,-1.5281,0;-.8943,-.0851,0;-1.9968,-1.2768,0;.8301,2.2786,0;-.4366,2.8702,0;-1.7825,-.1869,0;-2.6187,.0441,0;-3.3884,-5.009,0;-5.2937,-1.7646,0;-7.8174,-.7922,0;-6.3174,-.7342,0;-7.5451,2.6869,0;-8.9481,2.8338,0;-6.7079,2.8207,0;-5.2226,2.9101,0;-9.254,-.5781,0;-10.654,-.4402,0;-5.2017,-.6546,0;-4.6125,-.7879,0;-10.3443,3.0003,0;-11.7818,3.0681,0;-11.847,-.411,0;-13.2841,-.345,0;-12.9782,3.094,0;-14.3784,3.2286,0;-14.6608,-.1777,0;-16.0526,-.067,0;-15.8542,3.3757,0;-17.2919,3.3955,0;-18.6801,2.6426,0;-19.2991,.5546,0;-17.211,-.0644,0;7.8085,1.5947,0;6.4322,1.5587,0;8.0308,-1.8235,0;9.4403,-1.7031,0;6.2847,-1.9031,0;4.7966,-1.6102,0;9.2238,1.7883,0;10.7126,1.7382,0;5.6446,1.9643,0;4.0705,2.1078,0;10.3145,-1.7672,0;11.7494,-1.9215,0;11.989,1.5434,0;13.4111,1.4271,0;13.0403,-2.0027,0;14.4299,-2.175,0;14.8027,1.2042,0;16.1808,1.0661,0;15.9841,-2.3806,0;17.4474,-2.3462,0;18.8179,-1.461,0;19.2728,.6688,0;17.1431,1.1237,0;
</t>
  </si>
  <si>
    <t xml:space="preserve">C00344</t>
  </si>
  <si>
    <t xml:space="preserve">pgp_AFE[c]</t>
  </si>
  <si>
    <t xml:space="preserve">L-1-phosphatidylglycerol-phosphate-AFE</t>
  </si>
  <si>
    <t xml:space="preserve">phe-L[c]</t>
  </si>
  <si>
    <t xml:space="preserve">L-Phenylalanine</t>
  </si>
  <si>
    <t xml:space="preserve">C9H11NO2</t>
  </si>
  <si>
    <t xml:space="preserve">InChI=1/C9H11NO2/c10-8(9(11)12)6-7-4-2-1-3-5-7/h1-5,8H,6,10H2,(H,11,12)/t8-/s2
AuxInfo=1/1/N:12,10,11,7,8,4,6,5,9,3,1,2/E:(2,3)(4,5)(11,12)/rA:12O-ON+CC.oCCCCCCC/rB:;;;s3s4;s4;d+6;s6;s1d2s5;s7;d-8;d-10s11;/rC:7.0812,3.3727,0;4.4137,3.3727,0;7.0812,.2927,0;4.4137,.2927,0;5.7475,1.0627,0;4.4137,-1.2475,0;3.08,-2.0175,0;5.7475,-2.0175,0;5.7475,2.6027,0;3.08,-3.5575,0;5.7475,-3.5575,0;4.4137,-4.3275,0;
</t>
  </si>
  <si>
    <t xml:space="preserve">C00079</t>
  </si>
  <si>
    <t xml:space="preserve">pheme[c]</t>
  </si>
  <si>
    <t xml:space="preserve">Protoheme</t>
  </si>
  <si>
    <t xml:space="preserve">C34H30FeN4O4</t>
  </si>
  <si>
    <t xml:space="preserve">InChI=1S/C34H34N4O4/c1-7-21-17(3)25-13-26-19(5)23(9-11-33(39)40)31(37-26)16-32-24(10-12-34(41)42)20(6)28(38-32)15-30-22(8-2)18(4)27(36-30)14-29(21)35-25/h7-8,13-16,36-37H,1-2,9-12H2,3-6H3,(H,39,40)(H,41,42)/p-2/b25-13-,26-13-,27-14-,28-15-,29-14-,30-15-,31-16-,32-16-
AuxInfo=1/1/N:40,39,33,34,31,32,36,35,29,30,37,38,20,24,21,17,25,26,22,23,28,27,18,19,13,11,15,12,16,14,9,10,41,42,7,8,5,6,1,3,2,4/E:(39,40)(41,42)/rA:72O-O-OONNNNCCCCCCCCCCCCCCCCCCCCCCCCCCCCCCCCCCHHHHHHHHHHHHHHHHHHHHHHHHHHHHHH/rB:;;;;;;;s5;s6;s5;d+6;s7;s8;s8;d+7;s9d-10;d-9;s10;s11d-13;s12d-14;d-11s18;s12d-19;d-15s16;s13;s15;s14d-26;s16d-25;s18;s19;s22;s23;s25;s26;s27;s28;s29;s30;d+35;d+36;s1d3s37;s2d4s38;s17;s20;s21;s24;s29;s29;s30;s30;s31;s31;s31;s32;s32;s32;s33;s33;s33;s34;s34;s34;s35;s36;s37;s37;s38;s38;s39;s39;s40;s40;/rC:4.0269,.2939,0;12.8733,-8.2955,0;5.7205,-1.9324,0;10.6119,-6.649,0;11.9279,1.7678,0;14.2304,-.3296,0;14.179,3.8652,0;16.5302,1.7678,0;11.0587,.5909,0;13.0022,-1.3014,0;11.0587,2.9447,0;15.4584,-1.2502,0;12.9508,4.837,0;17.4507,.6421,0;17.3995,2.9959,0;15.4584,4.8882,0;11.5201,-.8398,0;9.5767,1.0011,0;13.4637,-2.7321,0;11.4689,4.4266,0;16.9917,-.8398,0;9.5767,2.5343,0;14.997,-2.7321,0;16.9405,4.4266,0;13.4124,6.3189,0;18.8839,2.5856,0;18.8839,1.0525,0;14.9457,6.3189,0;8.2913,.0233,0;12.5131,-4.0377,0;8.2913,3.5122,0;15.8045,-4.1309,0;12.4552,7.6196,0;20.1691,3.5637,0;20.1735,.0803,0;15.8753,7.6395,0;6.8018,.6475,0;13.1685,-5.5138,0;21.6603,.7109,0;15.1965,9.105,0;5.5164,-.3303,0;12.2179,-6.8194,0;10.8156,-1.5514,0;10.7608,5.1346,0;17.6859,-1.5616,0;17.6455,5.1377,0;7.7498,-.819,0;9.0266,-.6562,0;11.8182,-3.3168,0;11.6824,-4.5968,0;8.8976,4.309,0;7.4945,4.1184,0;7.685,2.7153,0;14.9374,-4.6315,0;16.3052,-4.998,0;16.6716,-3.6301,0;13.2617,8.2132,0;11.8616,8.4262,0;11.6488,7.0263,0;20.7755,2.767,0;20.966,4.1701,0;19.5627,4.3605,0;20.0512,-.9136,0;16.8727,7.5499,0;7.3433,1.4899,0;6.0663,1.3271,0;13.8633,-6.2348,0;13.9991,-4.9547,0;22.4598,.108,0;21.7825,1.7048,0;15.7729,9.9238,0;14.1992,9.1948,0;
</t>
  </si>
  <si>
    <t xml:space="preserve">C00032</t>
  </si>
  <si>
    <t xml:space="preserve">phom[c]</t>
  </si>
  <si>
    <t xml:space="preserve">O-Phospho-L-homoserine</t>
  </si>
  <si>
    <t xml:space="preserve">C4H8NO6P</t>
  </si>
  <si>
    <t xml:space="preserve">InChI=1/C4H10NO6P/c5-3(4(6)7)1-2-11-12(8,9)10/h3H,1-2,5H2,(H,6,7)(H2,8,9,10)/p-2/t3-/s2
AuxInfo=1/1/N:9,11,10,12,8,3,6,4,5,7,2,1/E:(6,7)(8,9,10)/rA:19POO-O-O-OON+CC.eCCHHHHHHH/rB:s1;;s1;s1;;d1;;;s8s9;s2s9;s3d6s10;s9;s9;s10;s11;s11;s8;s8;/rC:5.241,-.1463,0;6.575,.6237,0;13.2438,-.1463,0;3.9073,-.9163,0;4.471,1.1874,0;11.9101,2.164,0;6.011,-1.4801,0;10.5763,-1.6865,0;9.2424,.6237,0;10.5763,-.1463,0;7.9087,-.1463,0;11.9101,.6237,0;9.8564,1.3552,0;8.6287,1.3552,0;9.7492,-.6237,0;7.2949,-.8777,0;8.5223,-.8777,0;11.4033,-2.164,0;9.7492,-2.164,0;
</t>
  </si>
  <si>
    <t xml:space="preserve">C01102</t>
  </si>
  <si>
    <t xml:space="preserve">phpyr[c]</t>
  </si>
  <si>
    <t xml:space="preserve">Phenylpyruvate</t>
  </si>
  <si>
    <t xml:space="preserve">C9H7O3</t>
  </si>
  <si>
    <t xml:space="preserve">InChI=1S/C9H8O3/c10-8(9(11)12)6-7-4-2-1-3-5-7/h1-5H,6H2,(H,11,12)/p-1
AuxInfo=1/1/N:11,9,10,6,7,5,4,8,12,1,2,3/E:(2,3)(4,5)(11,12)/rA:19OO-OCCCCCCCCCHHHHHHH/rB:;;;s4;d+4;s4;d1s5;s6;d-7;d-9s10;s2d3s8;s5;s5;s6;s7;s9;s10;s11;/rC:7.0812,.2927,0;7.0812,3.3727,0;4.4137,3.3727,0;4.4137,-1.2475,0;4.4137,.2927,0;3.08,-2.0175,0;5.7475,-2.0175,0;5.7475,1.0627,0;3.08,-3.5575,0;5.7475,-3.5575,0;4.4137,-4.3275,0;5.7475,2.6027,0;4.0873,1.1898,0;3.4733,.1267,0;2.2533,-1.54,0;6.5744,-1.54,0;2.2533,-4.0348,0;6.5744,-4.0348,0;4.4137,-5.2823,0;
</t>
  </si>
  <si>
    <t xml:space="preserve">C00166</t>
  </si>
  <si>
    <t xml:space="preserve">phthr[c]</t>
  </si>
  <si>
    <t xml:space="preserve">O-Phospho-4-hydroxy-L-threonine</t>
  </si>
  <si>
    <t xml:space="preserve">C4H8NO7P</t>
  </si>
  <si>
    <t xml:space="preserve">InChI=1/C4H10NO7P/c5-3(4(7)8)2(6)1-12-13(9,10)11/h2-3,6H,1,5H2,(H,7,8)(H2,9,10,11)/p-2/t2-,3+/s2
AuxInfo=1/1/N:12,10,11,13,9,3,4,5,6,7,8,2,1/E:(7,8)(9,10,11)/rA:20POOO-OO-O-ON+C.eC.eCCHHHHHHH/rB:s1;;;;s1;s1;d1;;s3;s9s10;s2s10;s4d5s11;s10;s11;s12;s12;s9;s9;s3;/rC:11.9091,-.3851,0;10.5756,.3851,0;7.9081,1.9251,0;3.9069,-.3851,0;5.2407,1.9251,0;13.2429,-1.1551,0;12.6793,.9486,0;11.1391,-1.7186,0;6.5744,-1.9251,0;7.9081,.3851,0;6.5744,-.3851,0;9.2417,-.3851,0;5.2407,.3851,0;8.7351,.8624,0;7.4013,-.8624,0;8.6281,-1.1165,0;9.8556,-1.1165,0;5.7475,-2.4024,0;7.4013,-2.4024,0;8.7351,2.4024,0;
</t>
  </si>
  <si>
    <t xml:space="preserve">C06055</t>
  </si>
  <si>
    <t xml:space="preserve">pi[c]</t>
  </si>
  <si>
    <t xml:space="preserve">Orthophosphate</t>
  </si>
  <si>
    <t xml:space="preserve">HO4P</t>
  </si>
  <si>
    <t xml:space="preserve">InChI=1S/H3O4P/c1-5(2,3)4/h(H3,1,2,3,4)/p-2
AuxInfo=1/1/N:2,3,4,5,1/E:(1,2,3,4)/rA:5POO-O-O/rB:s1;s1;s1;d1;/rC:5.2407,-.4135,0;6.5744,.3565,0;3.9069,-1.1835,0;4.4707,.9203,0;6.0107,-1.7472,0;
</t>
  </si>
  <si>
    <t xml:space="preserve">C00009</t>
  </si>
  <si>
    <t xml:space="preserve">pi[e]</t>
  </si>
  <si>
    <t xml:space="preserve">pi[p]</t>
  </si>
  <si>
    <t xml:space="preserve">pmcoa[c]</t>
  </si>
  <si>
    <t xml:space="preserve">6-Carboxyhexanoyl-CoA</t>
  </si>
  <si>
    <t xml:space="preserve">C28H41N7O19P3S</t>
  </si>
  <si>
    <t xml:space="preserve">InChI=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
AuxInfo=1/1/N:1,3,53,54,52,55,51,42,41,46,47,14,4,33,27,15,43,56,49,29,18,20,36,30,35,38,17,2,31,45,40,32,34,28,26,44,57,58,50,19,37,39,23,24,25,11,12,7,8,13,5,16,21,9,22,10,6,48/E:(1,2)(37,38)(43,44,45)(46,47)(48,49)/it:im/rA:58CCCCOPO-OOPO-OOCC.oOC.eC.eOC.eOPO-O-ONCNCCNNCNCC.oOCONCCCONCCSCOCCCCCCO-O/rB:s1;s2;s2;s4;s5;s6;d6;s6;s9;s10;d10;s10;s13;s14;s15;s16;s17;s18;s15s18;s20;s21;s22;s22;d22;s17;s26;d-27;s28;d-29;s30;s30;d-32;s33;s26s29d+34;s2;s36;s36;d38;s38;s40;s41;s42;d43;s43;s45;s46;s47;s48;d49;s49;s51;s52;s53;s54;s55;s56;d56;/rC:11.0255,-13.8557,0;11.7955,-12.522,0;12.5655,-11.1882,0;10.4617,-11.752,0;9.128,-12.522,0;7.7943,-11.752,0;7.0243,-13.0857,0;8.5643,-10.4182,0;6.4607,-10.982,0;5.127,-11.752,0;5.897,-13.0857,0;4.357,-10.4182,0;3.7933,-12.522,0;2.4597,-11.752,0;1.126,-12.522,0;.9649,-14.0536,0;-.5413,-14.3737,0;-1.3113,-13.04,0;-2.8429,-12.8791,0;-.2809,-11.8957,0;-.6011,-10.3893,0;.5434,-9.3587,0;1.5738,-10.5032,0;-.4872,-8.2145,0;1.6878,-8.3283,0;-1.1678,-15.7806,0;-.3978,-17.1143,0;-1.4282,-18.2588,0;-2.8351,-17.6323,0;-4.242,-18.2588,0;-4.4029,-19.7902,0;-5.4878,-17.3535,0;-5.3269,-15.8221,0;-3.92,-15.1956,0;-2.6742,-16.1007,0;13.129,-13.292,0;13.129,-14.832,0;14.4627,-12.522,0;14.4627,-10.982,0;15.7965,-13.292,0;17.13,-12.522,0;18.4638,-13.292,0;19.7975,-12.522,0;19.7975,-10.982,0;21.131,-13.292,0;22.4648,-12.522,0;23.7985,-13.292,0;25.1322,-12.522,0;26.4658,-13.292,0;26.4658,-14.832,0;27.7995,-12.522,0;29.1333,-13.292,0;30.4668,-12.522,0;31.8005,-13.292,0;33.1343,-12.522,0;34.468,-13.292,0;35.8015,-12.522,0;34.468,-14.832,0;
</t>
  </si>
  <si>
    <t xml:space="preserve">C01063</t>
  </si>
  <si>
    <t xml:space="preserve">pnto-R[c]</t>
  </si>
  <si>
    <t xml:space="preserve">Pantothenate</t>
  </si>
  <si>
    <t xml:space="preserve">C9H16NO5</t>
  </si>
  <si>
    <t xml:space="preserve">InChI=1/C9H17NO5/c1-9(2,5-11)7(14)8(15)10-4-3-6(12)13/h7,11,14H,3-5H2,1-2H3,(H,10,15)(H,12,13)/p-1/t7-/s2
AuxInfo=1/1/N:10,11,14,13,9,15,8,12,7,6,2,4,5,1,3/E:(1,2)(12,13)/rA:31OOOO-ONCC.oCCCCCCCHHHHHHHHHHHHHHHH/rB:;;;;;;s1s7;s2s7;s7;s7;d3s6s8;s6;s13;s4d5s14;s8;s9;s9;s10;s10;s10;s11;s11;s11;s6;s1;s13;s13;s2;s14;s14;/rC:7.9081,1.6863,0;3.9069,-.6237,0;9.2417,-2.1638,0;15.9103,.1463,0;14.5766,-2.1638,0;10.5756,.1463,0;6.5744,-.6237,0;7.9081,.1463,0;5.2407,-1.3937,0;5.8044,.7099,0;7.3444,-1.9574,0;9.2417,-.6237,0;11.9091,-.6237,0;13.2429,.1463,0;14.5766,-.6237,0;8.7351,.6237,0;4.6269,-2.1252,0;5.8544,-2.1252,0;6.6311,1.1874,0;5.3269,1.537,0;4.9775,.2326,0;6.5175,-2.4349,0;7.8219,-2.7843,0;8.1713,-1.4799,0;10.5756,1.1011,0;8.7351,2.1638,0;11.2956,-1.355,0;12.5229,-1.355,0;3.08,-1.1011,0;13.8566,.8777,0;12.6291,.8777,0;
</t>
  </si>
  <si>
    <t xml:space="preserve">C00864</t>
  </si>
  <si>
    <t xml:space="preserve">polypi[c]</t>
  </si>
  <si>
    <t xml:space="preserve">Polyphosphate</t>
  </si>
  <si>
    <t xml:space="preserve">HO7P2</t>
  </si>
  <si>
    <t xml:space="preserve">InChI=1S/H4O7P2/c1-8(2,3)7-9(4,5)6/h(H2,1,2,3)(H2,4,5,6)/p-3
AuxInfo=1/1/N:1,3,4,7,8,9,5,2,6/E:(1,2,3,4,5,6)(8,9)/gE:(1,2)/rA:9OPO-OOPO-O-O/rB:s1;s2;d2;s2;s5;s6;s6;d6;/rC:-2.6964,-2.4078,0;-1.3627,-1.6378,0;-.5927,-2.9715,0;-2.1327,-.3041,0;-.0291,-.8678,0;-.0291,.6722,0;-.0291,2.2122,0;1.5109,.6722,0;-1.5691,.6722,0;
</t>
  </si>
  <si>
    <t xml:space="preserve">C00890</t>
  </si>
  <si>
    <t xml:space="preserve">polypi[e]</t>
  </si>
  <si>
    <t xml:space="preserve">polypi[p]</t>
  </si>
  <si>
    <t xml:space="preserve">polysac_AFE[c]</t>
  </si>
  <si>
    <t xml:space="preserve">Polysaccharide-(KDO)2-AFE</t>
  </si>
  <si>
    <t xml:space="preserve">ppbng[c]</t>
  </si>
  <si>
    <t xml:space="preserve">Porphobilinogen</t>
  </si>
  <si>
    <t xml:space="preserve">C10H13N2O4</t>
  </si>
  <si>
    <t xml:space="preserve">InChI=1S/C10H14N2O4/c11-4-8-7(3-10(15)16)6(5-12-8)1-2-9(13)14/h5,12H,1-4,11H2,(H,13,14)(H,15,16)/p-1
AuxInfo=1/1/N:10,14,12,13,11,8,7,9,16,15,6,5,2,4,1,3/E:(13,14)(15,16)/rA:28O-O-OONN+CCCCCCCCCCHHHHHHHHHHHH/rB:;;;;;;s7;s5d-7;s8;s5d-8;s7;s6s9;s10;s1d3s12;s2d4s14;s10;s10;s11;s12;s12;s5;s13;s13;s14;s14;s6;s6;/rC:11.2388,3.556,0;3.6411,1.8273,0;8.8021,2.4711,0;5.7992,3.3951,0;9.2848,-2.7125,0;12.3155,-3.7895,0;10.0548,-.3425,0;8.5146,-.3425,0;10.5308,-1.8071,0;7.6097,.9033,0;8.0388,-1.8071,0;10.9599,.9033,0;11.9952,-2.2831,0;6.0779,.7424,0;10.3337,2.3102,0;5.1729,1.9884,0;8.4678,1.322,0;7.3465,1.8211,0;7.1309,-2.1022,0;11.6232,.2165,0;11.7514,1.4373,0;9.2848,-3.6673,0;12.9494,-2.2497,0;12.1281,-1.3377,0;5.2199,.3239,0;6.3411,-.1755,0;13.2237,-4.0846,0;11.606,-4.4283,0;
</t>
  </si>
  <si>
    <t xml:space="preserve">C00931</t>
  </si>
  <si>
    <t xml:space="preserve">ppcoa[c]</t>
  </si>
  <si>
    <t xml:space="preserve">Propionyl-CoA</t>
  </si>
  <si>
    <t xml:space="preserve">C24H36N7O17P3S</t>
  </si>
  <si>
    <t xml:space="preserve">InChI=1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?,23-/s2
AuxInfo=1/1/N:52,41,42,51,46,45,48,49,33,39,43,35,31,47,50,36,30,29,38,40,34,44,32,37,26,28,27,25,24,23,22,20,21,7,15,19,9,10,13,14,16,17,18,8,12,5,6,11,2,3,4,1/E:(2,3)(37,38,39)(40,41)(42,43)/rA:88SPPPOOOOO-O-OOOO-OOO-OOOONNNNNNNC.eC.oC.eC.eCCCCCCCCCCCCCCCCCCCCHHHHHHHHHHHHHHHHHHHHHHHHHHHHHHHHHHHH/rB:;;;;s2;;s3;s2;s2;s3s4;s4;d2;s3;;d3;s4;d4;;;;;;;;;;;s6;s7s29;s5s29;s5s22s30;s8s31;s22d+24;s22d-23;s23s34;;s15s37;s12s37;s25s26d+36;s37;s37;s24d-25;d19s27s38;s27;s45;d20s28s46;s28;s1s48;s1d21;s50;s51;s29;s30;s31;s32;s33;s33;s7;s35;s38;s39;s39;s42;s42;s42;s41;s41;s41;s43;s15;s26;s26;s27;s45;s45;s46;s46;s28;s48;s48;s49;s49;s51;s51;s52;s52;s52;/rC:6.5649,11.3678,0;26.9304,-2.7699,0;21.9247,-1.4728,0;19.9457,.3155,0;23.4702,-5.9707,0;27.0887,-4.3019,0;27.0827,-7.6524,0;22.3983,-2.9381,0;26.7721,-1.2382,0;28.4622,-2.6117,0;21.4515,-.0075,0;18.4399,.6384,0;25.3984,-2.9282,0;20.4594,-1.9462,0;13.9225,1.6066,0;23.3903,-.9994,0;20.2686,1.8213,0;19.623,-1.1902,0;15.5141,5.3573,0;11.5558,8.9339,0;4.0266,10.5478,0;23.8946,-8.6821,0;23.8946,-11.1608,0;21.1038,-8.3813,0;19.7701,-10.6913,0;21.1038,-13.0013,0;12.9758,4.5375,0;9.0175,8.114,0;25.8412,-5.205,0;25.8384,-6.745,0;24.3775,-4.7264,0;24.3731,-7.2184,0;23.904,-3.2611,0;22.4375,-9.1513,0;24.7934,-9.9213,0;22.4375,-10.6913,0;16.4606,2.4265,0;14.955,2.7492,0;17.9665,2.1037,0;21.1038,-11.4613,0;16.7836,3.9323,0;16.1379,.9208,0;19.7701,-9.1513,0;14.4816,4.2147,0;12.5024,6.003,0;10.9965,6.3258,0;10.5233,7.7913,0;8.5441,9.5795,0;7.0383,9.9023,0;5.0592,11.6906,0;4.5858,13.1561,0;3.08,13.4788,0;26.6911,-5.6398,0;25.6876,-7.6877,0;23.4347,-4.5756,0;23.4297,-7.3661,0;24.8498,-3.1298,0;23.9391,-2.307,0;27.9558,-7.2654,0;25.7482,-9.9213,0;13.675,3.0236,0;18.9123,2.235,0;18.0016,3.0578,0;15.2044,1.1207,0;15.938,-.0129,0;17.0716,.7205,0;17.7173,3.7322,0;16.9837,4.866,0;15.8499,4.1324,0;18.9433,-8.674,0;12.989,1.8067,0;20.2769,-13.4788,0;21.9307,-13.4788,0;12.3357,3.8291,0;13.4482,6.1342,0;12.5375,6.9571,0;10.0509,6.1945,0;10.9616,5.3715,0;8.3774,7.4056,0;9.4899,9.7108,0;8.579,10.5336,0;6.0926,9.7711,0;7.0034,8.9481,0;5.5315,13.2873,0;4.6207,14.1101,0;3.2803,14.4123,0;2.1465,13.6789,0;2.8799,12.5453,0;
</t>
  </si>
  <si>
    <t xml:space="preserve">C00100</t>
  </si>
  <si>
    <t xml:space="preserve">pphn[c]</t>
  </si>
  <si>
    <t xml:space="preserve">Prephenate</t>
  </si>
  <si>
    <t xml:space="preserve">InChI=1S/C10H10O6/c11-6-1-3-10(4-2-6,9(15)16)5-7(12)8(13)14/h1-4,6,11H,5H2,(H,13,14)(H,15,16)/p-2
AuxInfo=1/1/N:12,13,10,9,8,11,15,16,14,7,1,4,5,6,2,3/E:(1,2)(3,4)(13,14)(15,16)/rA:24OO-OOO-OCCCCCCCCCCHHHHHHHH/rB:;;;;;;s7;s7;s7;s1;d-10s11;d-9s11;s2d3s7;d4s8;s5d6s15;s8;s8;s10;s9;s11;s12;s13;s1;/rC:8.1775,-4.0718,0;10.4877,1.882,0;8.1775,3.2155,0;5.0975,.5482,0;3.5575,3.2155,0;5.8675,4.5493,0;8.1775,.5482,0;7.4075,1.882,0;6.8439,-.2218,0;9.5112,-.2218,0;8.1775,-2.5318,0;9.5112,-1.7618,0;6.8439,-1.7618,0;8.9477,1.882,0;5.8675,1.882,0;5.0975,3.2155,0;8.3048,2.2085,0;7.2417,2.8222,0;10.3382,.2557,0;6.0168,.2557,0;9.0044,-3.0093,0;10.3382,-2.2393,0;6.0168,-2.2393,0;7.3507,-4.5493,0;
</t>
  </si>
  <si>
    <t xml:space="preserve">C00254</t>
  </si>
  <si>
    <t xml:space="preserve">ppi[c]</t>
  </si>
  <si>
    <t xml:space="preserve">Pyrophosphate</t>
  </si>
  <si>
    <t xml:space="preserve">InChI=1S/H4O7P2/c1-8(2,3)7-9(4,5)6/h(H2,1,2,3)(H2,4,5,6)/p-3
AuxInfo=1/1/N:4,6,8,5,7,9,3,1,2/E:(1,2,3,4,5,6)(8,9)/gE:(1,2)/rA:9PPOOO-O-O-OO/rB:;s1s2;s1;s2;s1;s2;d1;d2;/rC:5.2407,-.4135,0;7.9081,-.4135,0;6.5744,.3565,0;3.9069,-1.1835,0;9.2417,-1.1835,0;4.4707,.9203,0;8.6781,.9203,0;6.0107,-1.7472,0;7.1381,-1.7472,0;
</t>
  </si>
  <si>
    <t xml:space="preserve">C00013</t>
  </si>
  <si>
    <t xml:space="preserve">ppl_AFE[c]</t>
  </si>
  <si>
    <t xml:space="preserve">Phospholipid-AFE</t>
  </si>
  <si>
    <t xml:space="preserve">ppp9[c]</t>
  </si>
  <si>
    <t xml:space="preserve">Protoporphyrin_IX</t>
  </si>
  <si>
    <t xml:space="preserve">C34H32N4O4</t>
  </si>
  <si>
    <t xml:space="preserve">InChI=1S/C34H34N4O4/c1-7-21-17(3)25-13-26-19(5)23(9-11-33(39)40)31(37-26)16-32-24(10-12-34(41)42)20(6)28(38-32)15-30-22(8-2)18(4)27(36-30)14-29(21)35-25/h7-8,13-16,35-36H,1-2,9-12H2,3-6H3,(H,39,40)(H,41,42)/p-2/b25-13-,26-13-,27-14-,28-15-,29-14-,30-15-,31-16-,32-16-
AuxInfo=1/1/N:41,42,35,36,31,34,37,38,21,22,32,33,28,30,29,23,24,25,12,14,26,27,9,10,17,15,18,16,20,19,11,13,39,40,5,6,7,8,1,3,2,4/E:(39,40)(41,42)/rA:74O-O-OONNNNCCCCCCCCCCCCCCCCCCCCCCCCCCCCCCCCCCHHHHHHHHHHHHHHHHHHHHHHHHHHHHHHHH/rB:;;;;;;;;;d-7s9;d-9;s8s10;d-10;s7s12;d-8s14;s5;s6;s6;s5;s9;s10;s11d-13;d-17;s18;d-20s24;s19d-25;d-15s17;s16d-19;d-18s20;s12;s21;s22;s14;s24;s25;s26;s27;s1d3s32;s2d4s33;d+37;d+38;s21;s21;s22;s22;s23;s28;s29;s5;s6;s30;s31;s31;s31;s32;s32;s33;s33;s34;s34;s34;s35;s35;s35;s36;s36;s36;s37;s38;s41;s41;s42;s42;/rC:12.3988,8.1211,0;3.8399,-.3119,0;10.2504,6.5399,0;5.455,1.8109,0;16.1241,-1.7573,0;13.8113,-3.8662,0;13.7598,.3517,0;11.4961,-1.7573,0;12.989,2.819,0;9.1317,-.9863,0;12.5248,1.3289,0;14.5307,2.819,0;10.6221,-.574,0;9.1317,-2.5282,0;15.0465,1.3804,0;10.6221,-2.9407,0;16.9981,-.5223,0;15.0465,-4.7919,0;12.5765,-4.8434,0;17.0496,-2.8892,0;12.076,4.0594,0;7.9063,-.0541,0;11.0346,.9163,0;18.491,-.9348,0;14.5822,-6.2821,0;18.491,-2.4767,0;13.0403,-6.2821,0;16.5366,.9163,0;11.0861,-4.3794,0;16.5881,-4.3794,0;15.4172,4.0783,0;12.6937,5.4701,0;6.4859,-.6492,0;7.7982,-3.2982,0;19.7163,-.0022,0;15.4952,-7.5225,0;19.7206,-3.4037,0;12.0075,-7.4243,0;11.7809,6.7105,0;5.2603,.2832,0;21.1383,-2.8024,0;12.4803,-8.8902,0;11.2812,4.5885,0;11.4171,3.3684,0;8.6074,.594,0;7.3898,.7493,0;10.3594,1.5915,0;17.2088,1.5943,0;10.4143,-5.0579,0;15.1698,-1.7905,0;13.7988,-2.9116,0;17.2501,-5.0674,0;16.1978,3.5289,0;15.9667,4.8591,0;14.6363,4.628,0;13.4885,4.9411,0;13.3526,6.1609,0;5.7846,-1.2971,0;7.0022,-1.4525,0;7.3207,-2.4715,0;6.9713,-3.7757,0;8.2755,-4.125,0;20.2946,-.7618,0;20.4762,.5761,0;19.138,.7577,0;14.7261,-8.0885,0;16.0612,-8.2915,0;16.2641,-6.9565,0;19.6041,-4.3514,0;11.074,-7.2238,0;21.9007,-3.377,0;21.255,-1.8545,0;11.8399,-9.5982,0;13.4139,-9.0907,0;
</t>
  </si>
  <si>
    <t xml:space="preserve">C02191</t>
  </si>
  <si>
    <t xml:space="preserve">pppg9[c]</t>
  </si>
  <si>
    <t xml:space="preserve">Protoporphyrinogen_IX</t>
  </si>
  <si>
    <t xml:space="preserve">C34H38N4O4</t>
  </si>
  <si>
    <t xml:space="preserve">InChI=1S/C34H40N4O4/c1-7-21-17(3)25-13-26-19(5)23(9-11-33(39)40)31(37-26)16-32-24(10-12-34(41)42)20(6)28(38-32)15-30-22(8-2)18(4)27(36-30)14-29(21)35-25/h7-8,35-38H,1-2,9-16H2,3-6H3,(H,39,40)(H,41,42)/p-2
AuxInfo=1/1/N:42,41,35,36,31,32,38,37,25,26,33,34,18,24,19,11,27,28,16,17,30,29,12,13,20,14,22,15,23,21,9,10,39,40,7,8,5,6,1,3,2,4/E:(39,40)(41,42)/rA:80O-O-OONNNNCCCCCCCCCCCCCCCCCCCCCCCCCCCCCCCCCCHHHHHHHHHHHHHHHHHHHHHHHHHHHHHHHHHHHHHH/rB:;;;;;;;s5;s6;s9s10;d-9;d-10;s5;s6;s12d-14;s13d-15;s14;s15;s7s18;s8s19;s8;s7;s22s23;s12;s13;d-20;d-22;d-21s28;d-23s27;s16;s17;s25;s26;s27;s28;s29;s30;s1d3s33;s2d4s34;d+37;d+38;s11;s11;s18;s18;s19;s19;s5;s6;s24;s24;s25;s25;s26;s26;s7;s8;s31;s31;s31;s32;s32;s32;s33;s33;s34;s34;s35;s35;s35;s36;s36;s36;s37;s38;s41;s41;s42;s42;/rC:12.3988,8.1211,0;3.8399,-.3119,0;10.2504,6.5399,0;5.455,1.8109,0;13.7598,.3517,0;11.4961,-1.7573,0;16.1241,-1.7573,0;13.8113,-3.8664,0;12.5248,1.3289,0;10.6221,-.574,0;11.0346,.9163,0;12.989,2.819,0;9.1317,-.9863,0;15.0465,1.3804,0;10.6221,-2.9407,0;14.5307,2.819,0;9.1317,-2.5282,0;16.5368,.9163,0;11.0861,-4.3794,0;16.9981,-.5223,0;12.5765,-4.8434,0;15.0465,-4.7919,0;17.0498,-2.8892,0;16.5881,-4.3794,0;12.076,4.0594,0;7.9063,-.0541,0;18.491,-.9348,0;14.5822,-6.2821,0;13.0405,-6.2821,0;18.491,-2.4767,0;15.4172,4.0785,0;7.7982,-3.2982,0;12.6937,5.4701,0;6.4859,-.6492,0;19.7163,-.0022,0;15.4952,-7.5225,0;12.0075,-7.4243,0;19.7206,-3.4037,0;11.7811,6.7105,0;5.2603,.2832,0;12.4803,-8.8902,0;21.1383,-2.8024,0;10.9487,1.8672,0;10.0835,1.0022,0;17.4862,1.0177,0;16.6299,1.8667,0;10.1369,-4.4817,0;10.9935,-5.3297,0;13.7622,-.6031,0;12.4509,-1.7573,0;16.6591,-5.3316,0;17.537,-4.4871,0;11.2814,4.5885,0;11.4171,3.3684,0;8.6074,.594,0;7.3899,.7493,0;15.17,-1.7905,0;13.799,-2.9116,0;16.198,3.5289,0;15.9667,4.8591,0;14.6363,4.628,0;7.3207,-2.4715,0;6.9713,-3.7757,0;8.2755,-4.1251,0;13.4885,4.9411,0;13.3528,6.1609,0;5.7846,-1.2971,0;7.0022,-1.4525,0;20.2946,-.7618,0;20.4762,.5761,0;19.1382,.7577,0;14.7261,-8.0885,0;16.0612,-8.2915,0;16.2641,-6.9565,0;11.074,-7.2238,0;19.6041,-4.3514,0;11.8399,-9.5982,0;13.4139,-9.0907,0;21.9007,-3.377,0;21.255,-1.8547,0;
</t>
  </si>
  <si>
    <t xml:space="preserve">C01079</t>
  </si>
  <si>
    <t xml:space="preserve">pppi[c]</t>
  </si>
  <si>
    <t xml:space="preserve">Triphosphate</t>
  </si>
  <si>
    <t xml:space="preserve">HO10P3</t>
  </si>
  <si>
    <t xml:space="preserve">InChI=1S/H5O10P3/c1-11(2,3)9-13(7,8)10-12(4,5)6/h(H,7,8)(H2,1,2,3)(H2,4,5,6)/p-4
AuxInfo=1/1/N:4,5,6,11,12,13,8,9,7,10,1,3,2/E:(1,2,3,4,5,6)(7,8)(9,10)(11,12)/gE:(2,3)/rA:13PPPOOO-OOO-OO-OO-/rB:;;s1;d1;s1;s1s2;d2;s2;s2s3;s3;d3;s3;/rC:-1.4564,-2.3735,0;-.1226,-.0635,0;1.2109,2.2465,0;-1.4564,-3.9135,0;.0836,-2.3735,0;-2.9964,-2.3735,0;-1.4564,-.8335,0;-.8926,1.2703,0;.6474,-1.3972,0;1.2109,.7065,0;1.2109,3.7865,0;2.7509,2.2465,0;-.3291,2.2465,0;
</t>
  </si>
  <si>
    <t xml:space="preserve">C00536</t>
  </si>
  <si>
    <t xml:space="preserve">ppt[c]</t>
  </si>
  <si>
    <t xml:space="preserve">Phosphonate</t>
  </si>
  <si>
    <t xml:space="preserve">O3P</t>
  </si>
  <si>
    <t xml:space="preserve">InChI=1S/HO3P/c1-4(2)3/h(H,1,2,3)/p-1
AuxInfo=1/1/N:2,3,4,1/E:(1,2,3)/CRV:4.5/rA:4P+O-O-O/rB:s1;s1;d1;/rC:5.2407,.3851,0;6.5744,1.1551,0;3.9069,1.1551,0;5.2407,-1.1551,0;
</t>
  </si>
  <si>
    <t xml:space="preserve">C06701</t>
  </si>
  <si>
    <t xml:space="preserve">ppt[e]</t>
  </si>
  <si>
    <t xml:space="preserve">ppt[p]</t>
  </si>
  <si>
    <t xml:space="preserve">pram[c]</t>
  </si>
  <si>
    <t xml:space="preserve">5-phospho-beta-D-ribosylamine</t>
  </si>
  <si>
    <t xml:space="preserve">C5H11NO7P</t>
  </si>
  <si>
    <t xml:space="preserve">InChI=1/C5H12NO7P/c6-5-4(8)3(7)2(13-5)1-12-14(9,10)11/h2-5,7-8H,1,6H2,(H2,9,10,11)/p-1/t2-,3-,4-,5-/s2
AuxInfo=1/1/N:14,11,10,12,13,9,3,4,6,7,8,5,2,1/E:(9,10,11)/rA:24POOOOO-O-ON+C.oC.eC.oC.eCHHHHHHHHHH/rB:;;;s1;s1;s1;d1;;s3;s2s10;s4s10;s2s9s12;s5s11;s10;s11;s12;s13;s14;s14;s9;s9;s3;s4;/rC:10.9954,2.1889,0;6.5001,.6358,0;8.1753,-2.9798,0;4.8248,-2.9798,0;9.5308,1.713,0;12.46,2.6649,0;10.5194,3.6534,0;11.4714,.7243,0;3.7897,.2066,0;7.2701,-1.7339,0;7.7459,-.2692,0;5.7301,-1.7339,0;5.2541,-.2692,0;9.2107,.2066,0;6.8367,-2.5846,0;7.8953,.6737,0;4.7871,-1.5844,0;5.1048,.6737,0;9.3436,-.7388,0;10.1647,.1732,0;3.5909,1.1405,0;3.08,-.4323,0;9.1248,-2.8799,0;5.2132,-3.8521,0;
</t>
  </si>
  <si>
    <t xml:space="preserve">C03090</t>
  </si>
  <si>
    <t xml:space="preserve">pran[c]</t>
  </si>
  <si>
    <t xml:space="preserve">N-5-Phospho-D-ribosylanthranilate</t>
  </si>
  <si>
    <t xml:space="preserve">InChI=1/C12H16NO9P/c14-9-8(5-21-23(18,19)20)22-11(10(9)15)13-7-4-2-1-3-6(7)12(16)17/h1-4,8-11,13-15H,5H2,(H,16,17)(H2,18,19,20)/p-3/t8-,9-,10-,11-/s2
AuxInfo=1/1/N:22,21,20,19,16,18,17,14,12,13,15,23,11,3,4,9,10,6,7,8,5,2,1/E:(16,17)(18,19,20)/rA:36POOOOO-O-OO-ONC.eC.oC.eC.eCCCCCCCCHHHHHHHHHHHHH/rB:;;;s1;s1;s1;d1;;;;s3;s4s12;s2s12;s2s11s13;s5s14;s11;d+17;s17;s18;d-19;d-20s21;s9d10s18;s12;s13;s14;s15;s16;s16;s11;s3;s4;s19;s20;s21;s22;/rC:11.2567,4.5612,0;9.4028,.1813,0;13.2108,-.9933,0;10.9689,-3.483,0;10.6305,3.1543,0;11.883,5.9679,0;9.8498,5.1875,0;12.6637,3.9347,0;3.9069,-4.4303,0;5.2407,-2.1203,0;7.9081,-2.1203,0;11.6792,-.8322,0;10.6488,-1.9768,0;10.9092,.5014,0;9.2417,-1.3503,0;11.5354,1.9083,0;7.9081,-3.6603,0;6.5744,-4.4303,0;9.2417,-4.4303,0;6.5744,-5.9703,0;9.2417,-5.9703,0;7.9081,-6.7403,0;5.2407,-3.6603,0;12.0213,-1.7237,0;9.9068,-2.5777,0;10.3083,1.2434,0;8.4411,-.8303,0;12.3271,1.3742,0;12.1989,2.595,0;7.0812,-1.6429,0;13.7721,-.2208,0;11.877,-3.7781,0;10.0688,-3.953,0;5.7475,-6.4478,0;10.0688,-6.4478,0;7.9081,-7.6953,0;
</t>
  </si>
  <si>
    <t xml:space="preserve">C04302</t>
  </si>
  <si>
    <t xml:space="preserve">prbamp[c]</t>
  </si>
  <si>
    <t xml:space="preserve">Phosphoribosyl-AMP</t>
  </si>
  <si>
    <t xml:space="preserve">C15H19N5O14P2</t>
  </si>
  <si>
    <t xml:space="preserve">InChI=1/C15H23N5O14P2/c16-12-7-13(18-4-19(12)14-10(23)8(21)5(33-14)1-31-35(25,26)27)20(3-17-7)15-11(24)9(22)6(34-15)2-32-36(28,29)30/h3-6,8-11,14-16,21-24H,1-2H2,(H2,25,26,27)(H2,28,29,30)/p-4/b16-12+/t5-,6-,8-,9-,10-,11-,14-,15-/s2
AuxInfo=1/1/N:32,31,35,36,29,27,33,28,24,26,23,34,30,25,22,21,20,19,18,17,8,6,7,5,13,14,16,11,12,15,10,9,4,3,2,1/E:(25,26,27)(28,29,30)/rA:55PPOOOOOOOOO-O-O-O-OONNNNNC.eC.eC.eC.eC.eC.eC.eC.eCCCCCCCHHHHHHHHHHHHHHHHHHH/rB:;;;;;;;s1;s2;s1;s1;s2;s2;d1;d2;;;;;;s3s17;s5s22;s6s23;s4s18;s7s25;s3s24;s8s26;s4s28;s17s19;s9s27;s10s29;s20d-30;s18d+21s33;s17d-20;s18d-19;s22;s23;s24;s25;s26;s27;s28;s29;s31;s31;s32;s32;s35;s36;s5;s6;s7;s8;s21;/rC:15.7379,7.484,0;5.2593,-8.1512,0;14.745,2.1659,0;9.5502,-4.8563,0;18.3577,.4846,0;18.3635,3.8351,0;7.9841,-1.1919,0;5.7422,-3.6818,0;16.2113,6.0185,0;5.8858,-6.7443,0;15.2647,8.9494,0;17.2034,7.9574,0;4.6331,-9.5581,0;3.8526,-7.5249,0;14.2723,7.0105,0;6.6664,-8.7776,0;15.1695,-.5453,0;11.0449,-2.5545,0;12.3786,-.2445,0;15.1695,-3.024,0;12.3786,-4.8647,0;15.6479,.9184,0;17.1134,1.392,0;17.116,2.932,0;9.7111,-3.3245,0;8.3042,-2.6983,0;15.6524,3.4102,0;7.2737,-3.8427,0;8.0438,-5.1765,0;13.7123,-1.0145,0;15.1788,4.8757,0;7.4174,-6.5834,0;13.7123,-2.5545,0;12.3786,-3.3245,0;16.0683,-1.7845,0;11.0449,-1.0145,0;16.3219,.2423,0;16.9624,.4491,0;17.9661,2.497,0;10.5119,-3.8448,0;9.0462,-2.0974,0;14.7095,3.5614,0;6.9315,-2.9514,0;8.6447,-5.9185,0;14.5923,5.6293,0;14.3351,4.429,0;7.3509,-7.5359,0;8.3438,-6.8143,0;17.0231,-1.7845,0;10.2179,-.5372,0;19.2308,.8714,0;19.2353,3.4451,0;7.076,-.8969,0;5.3538,-2.8095,0;13.2055,-5.342,0;
</t>
  </si>
  <si>
    <t xml:space="preserve">C02741</t>
  </si>
  <si>
    <t xml:space="preserve">prbatp[c]</t>
  </si>
  <si>
    <t xml:space="preserve">Phosphoribosyl-ATP</t>
  </si>
  <si>
    <t xml:space="preserve">C15H19N5O20P4</t>
  </si>
  <si>
    <t xml:space="preserve">InChI=1/C15H25N5O20P4/c16-12-7-13(18-4-19(12)14-10(23)8(21)5(37-14)1-35-41(25,26)27)20(3-17-7)15-11(24)9(22)6(38-15)2-36-43(31,32)40-44(33,34)39-42(28,29)30/h3-6,8-11,14-16,21-24H,1-2H2,(H,31,32)(H,33,34)(H2,25,26,27)(H2,28,29,30)/p-5/b16-12+/t5-,6-,8-,9-,10-,11-,14-,15-/s2
AuxInfo=1/1/N:40,38,43,44,37,33,41,36,32,35,31,42,39,34,30,29,28,27,26,25,10,8,9,7,15,16,18,22,23,24,14,17,20,21,12,11,6,5,19,13,2,4,1,3/E:(25,26,27)(28,29,30)(31,32)(33,34)/rA:64PPPPOOOOOOOOOO-O-O-OOOO-OOO-ONNNNNC.eC.eC.eC.eC.eC.eC.eC.eCCCCCCCHHHHHHHHHHHHHHHHHHHH/rB:;;;;;;;;;s1;s2;s1s3;s1;s2;s2;d1;d2;s3s4;s3;d3;s4;s4;d4;;;;;;s5s25;s7s30;s8s31;s5s32;s6s26;s9s34;s10s35;s6s36;s11s33;s25s27;s12s37;s28d-39;s26d+29s41;s25d-28;s26d-27;s30;s31;s32;s33;s34;s35;s36;s37;s38;s38;s40;s40;s43;s44;s7;s8;s9;s10;s29;s22;/rC:15.7377,4.8757,0;5.2593,-10.7593,0;16.2969,7.4838,0;16.856,10.0921,0;14.7448,-.4422,0;9.5501,-7.4642,0;18.3575,-2.1237,0;18.3633,1.2268,0;7.9841,-3.8,0;5.7421,-6.2899,0;16.2111,3.4102,0;5.8858,-9.3524,0;15.2645,6.3413,0;17.2032,5.3491,0;4.6331,-12.1662,0;3.8524,-10.1328,0;14.2723,4.4025,0;6.6662,-11.3857,0;17.3294,8.6266,0;15.1542,8.5163,0;17.4397,6.4514,0;16.3828,11.5575,0;18.3215,10.5655,0;15.3905,9.6186,0;15.1693,-3.1535,0;11.0447,-5.1628,0;12.3784,-2.8526,0;15.1693,-5.6319,0;12.3784,-7.4728,0;15.6479,-1.6897,0;17.1132,-1.2163,0;17.1158,.3237,0;15.6522,.8021,0;9.711,-5.9328,0;8.3042,-5.3064,0;7.2737,-6.4508,0;8.0437,-7.7846,0;15.1788,2.2676,0;13.7122,-3.6228,0;7.4174,-9.1915,0;13.7122,-5.1628,0;12.3784,-5.9328,0;16.0681,-4.3928,0;11.0447,-3.6228,0;16.3218,-2.366,0;16.9622,-2.1592,0;17.9659,-.1113,0;14.7093,.9531,0;10.5119,-6.4529,0;9.0462,-4.7055,0;6.9315,-5.5595,0;8.6445,-8.5266,0;14.5921,3.021,0;14.3349,1.8207,0;7.3507,-10.144,0;8.3438,-9.4224,0;17.0229,-4.3928,0;10.2179,-3.1453,0;19.2306,-1.7367,0;19.2351,.8368,0;7.076,-3.5049,0;5.3538,-5.4176,0;13.2054,-7.9501,0;17.0227,12.2659,0;
</t>
  </si>
  <si>
    <t xml:space="preserve">C02739</t>
  </si>
  <si>
    <t xml:space="preserve">pre1[c]</t>
  </si>
  <si>
    <t xml:space="preserve">Precorrin_1</t>
  </si>
  <si>
    <t xml:space="preserve">C41H38N4O16</t>
  </si>
  <si>
    <t xml:space="preserve">C15527</t>
  </si>
  <si>
    <t xml:space="preserve">prfp[c]</t>
  </si>
  <si>
    <t xml:space="preserve">Phosphoribosyl-formimino-AICAR-phosphate</t>
  </si>
  <si>
    <t xml:space="preserve">C15H21N5O15P2</t>
  </si>
  <si>
    <t xml:space="preserve">InChI=1/C15H25N5O15P2/c16-12(25)7-13(17-3-18-14-10(23)8(21)5(34-14)1-32-36(26,27)28)20(4-19-7)15-11(24)9(22)6(35-15)2-33-37(29,30)31/h3-6,8-11,14-15,21-24H,1-2H2,(H2,16,25)(H,17,18)(H2,26,27,28)(H2,29,30,31)/p-4/t5-,6-,8-,9-,10-,11-,14-,15-/s2
AuxInfo=1/1/N:33,30,36,34,28,26,35,27,25,29,23,37,32,31,24,22,20,19,21,18,8,6,9,5,14,15,16,17,11,12,13,10,7,4,3,2,1/E:(26,27,28)(29,30,31)/rA:58PPOOOOOOOOO-O-OOO-O-ONNNNNC.eC.eC.eC.eC.oC.eC.oCC.eCCCCCCHHHHHHHHHHHHHHHHHHHHH/rB:;;;;;s1;;;s2;s1;s1;d1;;s2;s2;d2;;;;;;s5;s3s18s23;s6s23;s3s25;s8;s4s27;s9s27;s7s26;s4s19s29;s18s20;s10s28;s18d-21;s21d-32;d+19s20;d14s22s35;s23;s24;s25;s26;s27;s28;s29;s30;s30;s31;s33;s33;s5;s6;s34;s20;s8;s9;s36;s22;s22;/rC:10.6122,-7.2287,0;16.3154,6.6731,0;7.7461,-3.4332,0;12.8035,2.5581,0;3.7897,-2.9572,0;4.825,-6.1438,0;9.707,-5.9827,0;16.7724,2.201,0;15.0972,-.7006,0;15.9951,5.1667,0;11.5175,-8.4745,0;11.8582,-6.3233,0;9.3664,-8.1338,0;9.707,2.4668,0;16.6357,8.1795,0;17.8218,6.353,0;14.809,6.9933,0;6.5003,-.988,0;11.8199,-.0039,0;9.2109,-.5585,0;5.7301,1.3821,0;7.5492,4.0348,0;5.2543,-3.4332,0;6.5003,-2.528,0;5.7301,-4.8978,0;7.2703,-4.8978,0;15.2408,2.0401,0;14.2104,3.1845,0;14.4708,.7063,0;8.1754,-6.1438,0;12.9644,1.0265,0;7.7461,-.0827,0;14.5305,4.6907,0;5.2543,-.0827,0;7.2703,1.3821,0;10.3551,.4719,0;8.1754,2.6279,0;5.105,-2.4901,0;5.6495,-2.0944,0;6.1637,-5.7486,0;8.2133,-4.7484,0;15.5831,2.9314,0;13.4682,3.7854,0;15.4243,.6563,0;7.3173,-6.5623,0;8.4386,-7.0616,0;13.2115,.1043,0;14.3976,5.6364,0;13.5765,4.7242,0;3.08,-3.5961,0;5.2134,-7.0161,0;4.3463,-.3778,0;9.4093,-1.4926,0;17.3337,1.4286,0;16.0468,-.8004,0;10.1567,1.406,0;8.1103,4.8072,0;6.5996,4.1345,0;
</t>
  </si>
  <si>
    <t xml:space="preserve">C04896</t>
  </si>
  <si>
    <t xml:space="preserve">prlp[c]</t>
  </si>
  <si>
    <t xml:space="preserve">Phosphoribulosyl-formimino-AICAR-phosphate</t>
  </si>
  <si>
    <t xml:space="preserve">InChI=1/C15H25N5O15P2/c16-13(26)9-14(18-4-17-1-6(21)10(23)7(22)2-33-36(27,28)29)20(5-19-9)15-12(25)11(24)8(35-15)3-34-37(30,31)32/h4-5,7-8,10-12,15,22-25H,1-3H2,(H2,16,26)(H,17,18)(H2,27,28,29)(H2,30,31,32)/p-4/t7-,8-,10+,11-,12-,15-/s2
AuxInfo=1/1/N:35,37,27,32,29,36,34,26,30,33,24,23,31,28,25,21,22,20,19,18,14,12,11,5,4,10,15,16,17,7,8,9,13,6,3,2,1/E:(27,28,29)(30,31,32)/rA:58PPOOOOO-O-OOOOOOO-O-ONNNNNC.oC.eC.eC.eCCCCCCC.oC.eCCCHHHHHHHHHHHHHHHHHHHHH/rB:;;;;s1;s1;s1;d1;;;;s2;;s2;s2;d2;;;;;;s4;s5s23;s3s18s23;s3s24;s6s26;s18s20;s18d-19;s19d-28;d10s21s30;s20d+22;s11;s12s33;s22;d14s33s35;s13s34;s23;s24;s25;s26;s27;s27;s4;s5;s29;s20;s32;s33;s34;s21;s21;s35;s35;s37;s37;s11;s12;/rC:10.612,-5.395,0;20.7913,4.5237,0;7.7459,-1.5994,0;3.7897,-1.1235,0;4.8248,-4.3099,0;9.7069,-4.149,0;11.5173,-6.6409,0;11.8578,-4.4897,0;9.3662,-6.3002,0;9.7069,4.3004,0;15.2531,4.9211,0;17.3581,1.4323,0;19.647,3.4933,0;14.7489,.8779,0;21.9359,5.5543,0;21.8219,3.3794,0;19.7609,5.6683,0;6.5001,.8458,0;5.7301,3.2155,0;9.2107,1.2751,0;7.549,5.8684,0;11.8197,1.8297,0;5.2541,-1.5994,0;5.7301,-3.0641,0;6.5001,-.6942,0;7.2701,-3.0641,0;8.1753,-4.3099,0;7.7459,1.7509,0;5.2541,1.7509,0;7.2701,3.2155,0;8.1753,4.4613,0;10.355,2.3055,0;15.5732,3.4147,0;17.0378,2.9389,0;12.9642,2.8601,0;14.4288,2.3843,0;18.1823,3.9693,0;5.1048,-.6563,0;4.7871,-2.9148,0;5.6493,-.2608,0;8.2131,-2.9148,0;7.3171,-4.7286,0;8.4385,-5.2278,0;3.08,-1.7623,0;5.2132,-5.1822,0;4.3462,1.456,0;9.4091,.341,0;10.1565,3.2394,0;14.6651,3.7098,0;16.3285,2.2999,0;8.1101,6.6409,0;6.5994,5.9681,0;13.4124,3.7031,0;12.2117,3.4479,0;18.6306,4.8123,0;17.43,4.5571,0;15.9626,5.5599,0;18.2663,1.1374,0;
</t>
  </si>
  <si>
    <t xml:space="preserve">C04916</t>
  </si>
  <si>
    <t xml:space="preserve">pro-L[c]</t>
  </si>
  <si>
    <t xml:space="preserve">L-Proline</t>
  </si>
  <si>
    <t xml:space="preserve">C5H9NO2</t>
  </si>
  <si>
    <t xml:space="preserve">InChI=1/C5H9NO2/c7-5(8)4-2-1-3-6-4/h4,6H,1-3H2,(H,7,8)/t4-/s2
AuxInfo=1/1/N:6,5,7,4,8,3,1,2/E:(7,8)/rA:8O-ON+C.oCCCC/rB:;;s3;s4;s5;s3s6;s1d2s4;/rC:8.1812,.8135,0;7.3571,-1.7235,0;4.3262,-.6464,0;5.572,.2589,0;5.0962,1.7235,0;3.556,1.7235,0;3.0802,.2589,0;7.0368,-.2171,0;
</t>
  </si>
  <si>
    <t xml:space="preserve">C00148</t>
  </si>
  <si>
    <t xml:space="preserve">prpp[c]</t>
  </si>
  <si>
    <t xml:space="preserve">PRPP</t>
  </si>
  <si>
    <t xml:space="preserve">C5H8O14P3</t>
  </si>
  <si>
    <t xml:space="preserve">InChI=1/C5H13O14P3/c6-3-2(1-16-20(8,9)10)17-5(4(3)7)18-22(14,15)19-21(11,12)13/h2-7H,1H2,(H,14,15)(H2,8,9,10)(H2,11,12,13)/p-4/t2-,3-,4-,5-/s2
AuxInfo=1/1/N:22,19,18,20,21,6,7,12,13,14,15,16,17,10,11,8,4,5,9,2,3,1/E:(8,9,10)(11,12,13)(14,15)/rA:31PPPOOOOOOO-OO-O-OOO-OC.oC.eC.oC.oCHHHHHHHHH/rB:;;;s1;;;s2;s1s3;s1;d1;s2;s2;d2;s3;s3;d3;s6;s4s18;s7s18;s4s5s20;s8s19;s18;s19;s20;s21;s22;s22;s6;s7;s15;/rC:6.5279,.9598,0;14.0539,1.4357,0;4.7432,2.9421,0;9.5586,-.1172,0;6.8481,-.5466,0;11.2338,-3.733,0;7.8835,-3.733,0;12.5894,.9598,0;6.2078,2.4662,0;5.0217,.6395,0;8.0343,1.28,0;15.5185,1.9117,0;13.5779,2.9002,0;14.5299,-.0289,0;3.2784,3.4179,0;5.219,4.4066,0;4.2672,1.4775,0;10.3286,-2.4871,0;10.8045,-1.0224,0;8.7886,-2.4871,0;8.3128,-1.0224,0;12.2692,-.5466,0;11.2717,-2.3378,0;10.9538,-.0793,0;9.2221,-3.3378,0;7.6377,-1.6975,0;12.4021,-1.492,0;13.2233,-.5798,0;12.1834,-3.6331,0;8.2718,-4.6053,0;3.08,4.3519,0;
</t>
  </si>
  <si>
    <t xml:space="preserve">C00119</t>
  </si>
  <si>
    <t xml:space="preserve">ps120[c]</t>
  </si>
  <si>
    <t xml:space="preserve">Phosphatidylserine-AFE</t>
  </si>
  <si>
    <t xml:space="preserve">C30H56NO10P</t>
  </si>
  <si>
    <t xml:space="preserve">InChI=1/C30H58NO10P/c1-3-5-7-9-11-13-15-17-19-21-28(32)38-25-27(26-40-42(36,37)39-24-23-31-30(34)35)41-29(33)22-20-18-16-14-12-10-8-6-4-2/h27,31H,3-26H2,1-2H3,(H,34,35)(H,36,37)/p-2
AuxInfo=1/1/N:24,37,22,35,20,33,18,31,16,29,14,27,13,26,15,28,17,30,19,32,21,34,11,8,9,3,7,23,36,41,39,25,38,40,42,5,6,12,4,1,10,2/E:(34,35)(36,37)/rA:98OPCOO-OCCCOCOCCCCCCCCCCCCOCCCCCCCCCCCCONOCO-HHHHHHHHHHHHHHHHHHHHHHHHHHHHHHHHHHHHHHHHHHHHHHHHHHHHHHHH/rB:s1;s1;s2;s2;d2;s3;s4;s7;s7;s8;s9;;s13;s13;s14;s15;s16;s17;s18;s19;s20;s12s21;s22;d23;;s26;s26;s27;s28;s29;s30;s31;s32;s33;s10s34;s35;d36;s11;;s39d40;s41;s3;s3;s7;s8;s8;s9;s9;s11;s11;s13;s13;s14;s14;s15;s15;s16;s16;s17;s17;s18;s18;s19;s19;s20;s20;s21;s21;s22;s22;s24;s24;s24;s26;s26;s27;s27;s28;s28;s29;s29;s30;s30;s31;s31;s32;s32;s33;s33;s34;s34;s35;s35;s37;s37;s37;s39;/rC:-1.1924,-1.5083,0;-1.327,-3.032,0;-.0235,-.5251,0;-1.4933,-4.5502,0;.0478,-3.7251,0;-2.7839,-2.5353,0;-.0974,1.0017,0;-2.6958,-5.5046,0;1.1736,1.8314,0;-1.5639,1.3862,0;-2.3205,-6.9839,0;2.4941,1.0599,0;10.2243,1.8127,0;11.6034,2.52,0;8.831,2.4858,0;12.8617,1.5712,0;7.8613,1.2499,0;14.1316,2.4539,0;6.4897,1.9518,0;15.5908,1.9522,0;5.1216,1.2299,0;16.9396,2.6953,0;3.7675,1.9001,0;18.279,1.9285,0;3.8644,3.4205,0;-9.5965,1.3195,0;-10.9155,.5656,0;-8.3821,.3901,0;-12.348,1.1624,0;-6.9539,.9675,0;-13.3836,.0133,0;-5.454,.6502,0;-14.6388,.9223,0;-4.155,1.462,0;-15.8026,-.129,0;-2.8709,.6597,0;-17.2053,.4973,0;-2.7386,-.8514,0;-3.6603,-7.728,0;-2.2811,-9.9605,0;-3.635,-9.2555,0;-4.8974,-10.1138,0;.9513,-1.7173,0;1.5135,-.4293,0;1.2742,.3015,0;-3.7395,-4.3723,0;-4.2123,-5.7725,0;.4077,3.1675,0;1.8723,3.2038,0;-.7902,-6.812,0;-1.3965,-8.2161,0;10.9439,.4512,0;9.5374,.4344,0;10.9881,3.9318,0;12.4518,3.8054,0;9.2816,3.9585,0;7.7786,3.6101,0;12.0803,.2442,0;13.591,.2149,0;8.9036,.1165,0;7.3898,-.2162,0;13.244,3.7124,0;14.6419,3.9069,0;7.1898,3.3234,0;5.7721,3.3145,0;15.0227,.5206,0;16.3959,.6393,0;5.846,-.1292,0;4.4328,-.1475,0;16.2316,4.0628,0;17.6701,4.051,0;17.5138,.5919,0;19.6155,1.1633,0;19.0441,3.265,0;-10.2474,2.7153,0;-8.7653,2.6159,0;-10.1297,-.7588,0;-11.5306,-.8462,0;-9.2794,-.8615,0;-7.8495,-1.0549,0;-11.9093,2.6387,0;-13.3769,2.3083,0;-7.7237,2.3012,0;-6.429,2.4153,0;-12.4606,-1.2195,0;-14.0284,-1.3853,0;-5.8809,-.8294,0;-4.5453,-.5932,0;-13.9393,2.2943,0;-15.4818,2.2111,0;-4.8892,2.8159,0;-3.4212,2.8159,0;-14.8603,-1.347,0;-16.3219,-1.5788,0;-16.5773,1.9034,0;-18.6114,1.1252,0;-17.8332,-.9089,0;-4.9939,-6.958,0;
</t>
  </si>
  <si>
    <t xml:space="preserve">C02737</t>
  </si>
  <si>
    <t xml:space="preserve">pser-L[c]</t>
  </si>
  <si>
    <t xml:space="preserve">O-Phospho-L-serine</t>
  </si>
  <si>
    <t xml:space="preserve">C3H6NO6P</t>
  </si>
  <si>
    <t xml:space="preserve">InChI=1/C3H8NO6P/c4-2(3(5)6)1-10-11(7,8)9/h2H,1,4H2,(H,5,6)(H2,7,8,9)/p-2/t2-/s2
AuxInfo=1/1/N:10,9,11,8,5,7,3,4,6,2,1/E:(5,6)(7,8,9)/rA:16POO-O-O-OON+C.eCCHHHHH/rB:s1;s1;s1;;d1;;;s8;s2s9;s5d7s9;s9;s10;s10;s8;s8;/rC:5.241,-.6237,0;6.575,.1463,0;3.9073,-1.3938,0;4.471,.7099,0;11.9101,.1463,0;6.011,-1.9576,0;10.5763,-2.164,0;9.2424,1.6865,0;9.2424,.1463,0;7.9087,-.6237,0;10.5763,-.6237,0;10.0695,.6237,0;7.2949,-1.3552,0;8.5223,-1.3552,0;10.0695,2.164,0;8.4155,2.164,0;
</t>
  </si>
  <si>
    <t xml:space="preserve">C01005</t>
  </si>
  <si>
    <t xml:space="preserve">ptACP[c]</t>
  </si>
  <si>
    <t xml:space="preserve">Pentanoyl-ACP</t>
  </si>
  <si>
    <t xml:space="preserve">C16H29N2O8PRS</t>
  </si>
  <si>
    <t xml:space="preserve">ptdcaACP[c]</t>
  </si>
  <si>
    <t xml:space="preserve">Pentadecanoyl-ACP</t>
  </si>
  <si>
    <t xml:space="preserve">C26H49N2O8PRS</t>
  </si>
  <si>
    <t xml:space="preserve">ptdmeeta_AFE[c]</t>
  </si>
  <si>
    <t xml:space="preserve">Phosphatidyl-N-methylethanolamine-AFE</t>
  </si>
  <si>
    <t xml:space="preserve">ptrc[c]</t>
  </si>
  <si>
    <t xml:space="preserve">Putrescine</t>
  </si>
  <si>
    <t xml:space="preserve">C4H14N2</t>
  </si>
  <si>
    <t xml:space="preserve">InChI=1S/C4H12N2/c5-3-1-2-4-6/h1-6H2/p+2
AuxInfo=1/1/N:3,4,6,5,1,2/E:(1,2)(3,4)(5,6)/rA:6N+N+CCCC/rB:;;s3;s2s4;s1s3;/rC:3.9066,-.3851,0;10.5747,.3851,0;6.5738,-.3851,0;7.9074,.3851,0;9.2407,-.3851,0;5.2401,.3851,0;
</t>
  </si>
  <si>
    <t xml:space="preserve">C00134</t>
  </si>
  <si>
    <t xml:space="preserve">pyam5p[c]</t>
  </si>
  <si>
    <t xml:space="preserve">Pyridoxamine_phosphate</t>
  </si>
  <si>
    <t xml:space="preserve">C8H12N2O5P</t>
  </si>
  <si>
    <t xml:space="preserve">InChI=1S/C8H13N2O5P/c1-5-8(11)7(2-9)6(3-10-5)4-15-16(12,13)14/h3,11H,2,4,9H2,1H3,(H2,12,13,14)/p-1
AuxInfo=1/1/N:16,13,15,12,14,10,9,11,8,7,3,4,5,6,2,1/E:(12,13,14)/rA:27POOO-O-ONN+CCCCCCCCHHHHHHHHHHH/rB:s1;;s1;s1;d1;;;;s9;s3d+9;s2s10;s8s9;d-7s11;s7d-10;s14;s12;s12;s13;s13;s15;s16;s16;s16;s8;s8;s3;/rC:11.9091,-.0924,0;10.5756,-.8624,0;3.9069,-.0924,0;13.2429,.6776,0;12.6793,-1.4261,0;11.1391,1.2413,0;6.5744,-3.1724,0;5.2407,2.2176,0;6.5744,-.0924,0;7.9081,-.8624,0;5.2407,-.8624,0;9.2417,-.0924,0;6.5744,1.4476,0;5.2407,-2.4024,0;7.9081,-2.4024,0;3.9069,-3.1724,0;9.8556,.639,0;8.6281,.639,0;7.5148,1.2818,0;6.9009,2.3449,0;8.7351,-2.8799,0;3.4294,-2.3457,0;3.08,-3.6499,0;4.3842,-3.9993,0;5.2407,3.1724,0;4.4137,1.7403,0;3.08,-.5699,0;
</t>
  </si>
  <si>
    <t xml:space="preserve">C00647</t>
  </si>
  <si>
    <t xml:space="preserve">pydam[c]</t>
  </si>
  <si>
    <t xml:space="preserve">Pyridoxamine</t>
  </si>
  <si>
    <t xml:space="preserve">C8H13N2O2</t>
  </si>
  <si>
    <t xml:space="preserve">InChI=1S/C8H12N2O2/c1-5-8(12)7(2-9)6(4-11)3-10-5/h3,11-12H,2,4,9H2,1H3/p+1
AuxInfo=1/1/N:12,8,11,10,9,6,5,7,4,3,2,1/rA:24OONN+CCCCCCCCHHHHHHHHHHHH/rB:;;;;s5;s1d+5;s4s5;d-3s7;s2s6;s3d-6;s9;s8;s8;s10;s10;s11;s12;s12;s12;s4;s4;s1;s2;/rC:3.9069,-.0924,0;10.5756,-.8624,0;6.5744,-3.1724,0;7.9081,2.2176,0;6.5744,-.0924,0;7.9081,-.8624,0;5.2407,-.8624,0;6.5744,1.4476,0;5.2407,-2.4024,0;9.2417,-.0924,0;7.9081,-2.4024,0;3.9069,-3.1724,0;6.2477,2.3449,0;5.634,1.2818,0;9.8556,.639,0;8.6281,.639,0;8.7351,-2.8799,0;3.4294,-2.3457,0;3.08,-3.6499,0;4.3842,-3.9993,0;7.9081,3.1724,0;8.7351,1.7403,0;3.08,-.5699,0;11.4023,-.3851,0;
</t>
  </si>
  <si>
    <t xml:space="preserve">C00534</t>
  </si>
  <si>
    <t xml:space="preserve">pydx5p[c]</t>
  </si>
  <si>
    <t xml:space="preserve">Pyridoxal_phosphate</t>
  </si>
  <si>
    <t xml:space="preserve">C8H8NO6P</t>
  </si>
  <si>
    <t xml:space="preserve">InChI=1S/C8H10NO6P/c1-5-8(11)7(3-10)6(2-9-5)4-15-16(12,13)14/h2-3,11H,4H2,1H3,(H2,12,13,14)/p-2
AuxInfo=1/1/N:15,14,16,11,13,9,10,12,8,6,3,4,5,7,2,1/E:(12,13,14)/rA:16POOO-O-OONCCCCCCCC/rB:s1;;s1;s1;;d1;;;s9;s2s9;s3d+10;d-8s12;s8d-9;s13;d6s10;/rC:11.9091,.3851,0;10.5756,-.3851,0;3.9069,.3851,0;13.2429,1.1551,0;12.6793,-.9486,0;7.9081,2.6951,0;11.1391,1.7186,0;6.5744,-2.6951,0;7.9081,-.3851,0;6.5744,.3851,0;9.2417,.3851,0;5.2407,-.3851,0;5.2407,-1.9251,0;7.9081,-1.9251,0;3.9069,-2.6951,0;6.5744,1.9251,0;
</t>
  </si>
  <si>
    <t xml:space="preserve">C00018</t>
  </si>
  <si>
    <t xml:space="preserve">pydx[c]</t>
  </si>
  <si>
    <t xml:space="preserve">Pyridoxal</t>
  </si>
  <si>
    <t xml:space="preserve">C8H9NO3</t>
  </si>
  <si>
    <t xml:space="preserve">InChI=1S/C8H9NO3/c1-5-8(12)7(4-11)6(3-10)2-9-5/h2,4,10,12H,3H2,1H3
AuxInfo=1/0/N:11,10,9,12,8,5,6,7,4,2,3,1/rA:21OOONCCCCCCCCHHHHHHHHH/rB:;;;;s5;s1d+6;d-4s7;s2s5;s4d-5;s8;d3s6;s9;s9;s10;s11;s11;s11;s12;s1;s2;/rC:3.9069,.3851,0;10.5756,-.3851,0;7.9081,2.6951,0;6.5744,-2.6951,0;7.9081,-.3851,0;6.5744,.3851,0;5.2407,-.3851,0;5.2407,-1.9251,0;9.2417,.3851,0;7.9081,-1.9251,0;3.9069,-2.6951,0;6.5744,1.9251,0;9.8556,1.1165,0;8.6281,1.1165,0;8.7351,-2.4024,0;3.4294,-1.8682,0;3.08,-3.1724,0;4.3842,-3.5218,0;5.7475,2.4024,0;3.08,-.0924,0;11.4023,.0924,0;
</t>
  </si>
  <si>
    <t xml:space="preserve">C00250</t>
  </si>
  <si>
    <t xml:space="preserve">pydxn[c]</t>
  </si>
  <si>
    <t xml:space="preserve">Pyridoxine</t>
  </si>
  <si>
    <t xml:space="preserve">C8H11NO3</t>
  </si>
  <si>
    <t xml:space="preserve">InChI=1S/C8H11NO3/c1-5-8(12)7(4-11)6(3-10)2-9-5/h2,10-12H,3-4H2,1H3
AuxInfo=1/0/N:12,11,10,9,8,6,5,7,4,3,2,1/rA:23OOONCCCCCCCCHHHHHHHHHHH/rB:;;;;s5;s1d+5;d-4s7;s2s5;s3s6;s4d-6;s8;s9;s9;s10;s10;s11;s12;s12;s12;s1;s2;s3;/rC:3.9069,-.0924,0;7.9081,2.2176,0;10.5756,-.8624,0;6.5744,-3.1724,0;6.5744,-.0924,0;7.9081,-.8624,0;5.2407,-.8624,0;5.2407,-2.4024,0;6.5744,1.4476,0;9.2417,-.0924,0;7.9081,-2.4024,0;3.9069,-3.1724,0;6.2477,2.3449,0;5.634,1.2818,0;9.8556,.639,0;8.6281,.639,0;8.7351,-2.8799,0;3.4294,-2.3457,0;3.08,-3.6499,0;4.3842,-3.9993,0;3.08,-.5699,0;7.9081,3.1724,0;11.4023,-.3851,0;
</t>
  </si>
  <si>
    <t xml:space="preserve">C00314</t>
  </si>
  <si>
    <t xml:space="preserve">pyr[c]</t>
  </si>
  <si>
    <t xml:space="preserve">Pyruvate</t>
  </si>
  <si>
    <t xml:space="preserve">C3H3O3</t>
  </si>
  <si>
    <t xml:space="preserve">InChI=1S/C3H4O3/c1-2(4)3(5)6/h1H3,(H,5,6)/p-1
AuxInfo=1/1/N:5,4,6,2,1,3/E:(5,6)/rA:6O-OOCCC/rB:;;d2;s4;s1d3s4;/rC:3.9066,.3851,0;6.5738,1.9249,0;5.2401,-1.9249,0;6.5738,.3851,0;7.9074,-.3851,0;5.2401,-.3851,0;
</t>
  </si>
  <si>
    <t xml:space="preserve">C00022</t>
  </si>
  <si>
    <t xml:space="preserve">q8[c]</t>
  </si>
  <si>
    <t xml:space="preserve">CoQ</t>
  </si>
  <si>
    <t xml:space="preserve">C49H74O4</t>
  </si>
  <si>
    <t xml:space="preserve">InChI=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s1;d-1;s2;d2;s3;s3;d-4s6;s4;d6;s8;s9;;s13;d-14;s15;s15;s11;s17;s19;d-20;s21;s21;s23;s24;d-25;s26;s26;s28;s29;d-30;s31;s31;s33;s34;d-35;s36;s36;s38;s39;d-40;s41;s41;s43;s44;d-45;s46;s46;s1;s49;d-50;s51;s13s51;/rC:-8.9251,15.8435,0;-7.5707,16.5473,0;-10.2307,16.6668,0;-7.5167,18.0805,0;-6.042,16.3853,0;-10.1712,18.2026,0;-11.6975,16.1849,0;-8.8215,18.9096,0;-5.991,18.3943,0;-11.1516,19.374,0;-8.436,20.3827,0;-4.4389,18.2097,0;-5.7375,10.003,0;-4.817,8.7727,0;-4.8578,7.2513,0;-6.1609,6.411,0;-3.3573,6.8774,0;-7.449,21.5308,0;-2.7663,5.4539,0;-1.8685,4.2145,0;-2.0724,2.6966,0;-3.4594,2.0429,0;-.5823,2.3247,0;-.3862,.8074,0;.5544,-.3997,0;.4947,-1.9133,0;-.8106,-2.753,0;1.9962,-2.2811,0;2.4226,-3.7639,0;3.4221,-4.9262,0;3.062,-6.4135,0;1.8271,-7.3674,0;4.5599,-6.812,0;4.9493,-8.3085,0;5.9133,-9.5058,0;5.7199,-11.0387,0;4.4268,-11.8806,0;7.1604,-11.5834,0;7.614,-13.056,0;8.7102,-14.1339,0;8.3549,-15.6264,0;7.0353,-16.4528,0;9.8333,-16.0929,0;10.3987,-17.5363,0;11.3279,-18.7701,0;11.1626,-20.3013,0;9.8798,-21.1617,0;12.5857,-20.8989,0;-8.5504,14.3639,0;-7.3431,13.3871,0;-7.4148,11.859,0;-8.8009,11.2074,0;-5.9165,11.5287,0;
</t>
  </si>
  <si>
    <t xml:space="preserve">C00399</t>
  </si>
  <si>
    <t xml:space="preserve">q8h2[c]</t>
  </si>
  <si>
    <t xml:space="preserve">CoQH2</t>
  </si>
  <si>
    <t xml:space="preserve">C49H76O4</t>
  </si>
  <si>
    <t xml:space="preserve">InChI=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d-1;s1;s2;s2;d-3;s3;d-4s6;s4;s6;s8;s9;;s13;d-14;s15;s15;s11;s17;s19;d-20;s21;s21;s23;s24;d-25;s26;s26;s28;s29;d-30;s31;s31;s33;s34;d-35;s36;s36;s38;s39;d-40;s41;s41;s43;s44;d-45;s46;s46;s1;s49;d-50;s51;s13s51;/rC:-8.8829,15.5355,0;-7.4997,16.2383,0;-10.1629,16.3705,0;-7.4389,17.7694,0;-5.897,16.0976,0;-10.0942,17.8954,0;-11.6034,15.8418,0;-8.713,18.5903,0;-5.9395,18.0593,0;-11.029,19.1277,0;-8.3281,20.0745,0;-4.3975,17.9092,0;-5.5576,9.4328,0;-4.4234,8.4161,0;-4.7182,6.9192,0;-6.084,6.1865,0;-3.2142,6.5677,0;-7.3074,21.2283,0;-2.6531,5.1376,0;-1.7123,3.9323,0;-1.9977,2.4265,0;-3.3594,1.7168,0;-.5137,2.0132,0;-.227,.5176,0;.7157,-.6832,0;.6567,-2.1995,0;-.719,-2.9124,0;2.1427,-2.6257,0;2.5758,-4.1042,0;3.5256,-5.3107,0;3.2678,-6.8217,0;1.8835,-7.512,0;4.7509,-7.2408,0;5.0198,-8.7608,0;6.0736,-9.8838,0;5.8559,-11.4096,0;4.4488,-12.0383,0;7.3058,-11.931,0;7.6983,-13.4049,0;8.8389,-14.4211,0;8.464,-15.9025,0;7.0905,-16.623,0;9.9351,-16.3819,0;10.5093,-17.8185,0;11.4574,-19.035,0;11.261,-20.5593,0;9.9469,-21.3621,0;12.6788,-21.1646,0;-8.453,14.0905,0;-7.3058,13.0605,0;-7.3248,11.5171,0;-8.6884,10.7796,0;-5.875,10.9275,0;
</t>
  </si>
  <si>
    <t xml:space="preserve">C00390</t>
  </si>
  <si>
    <t xml:space="preserve">quln[c]</t>
  </si>
  <si>
    <t xml:space="preserve">Pyridine-2,3-dicarboxylate</t>
  </si>
  <si>
    <t xml:space="preserve">C7H3NO4</t>
  </si>
  <si>
    <t xml:space="preserve">InChI=1S/C7H5NO4/c9-6(10)4-2-1-3-8-5(4)7(11)12/h1-3H,(H,9,10)(H,11,12)/p-2
AuxInfo=1/1/N:9,8,10,6,7,11,12,5,1,3,2,4/E:(9,10)(11,12)/rA:15O-O-OONCCCCCCCHHH/rB:;;;;;d-5s6;d-6;s8;s5d-9;s1d3s6;s2d4s7;s8;s9;s10;/rC:3.9069,-.8624,0;9.2417,2.2176,0;5.2407,1.4476,0;6.5744,2.2176,0;9.2417,-.8624,0;6.5744,-.8624,0;7.9081,-.0924,0;6.5744,-2.4024,0;7.9081,-3.1724,0;9.2417,-2.4024,0;5.2407,-.0924,0;7.9081,1.4476,0;5.7475,-2.8799,0;7.9081,-4.1272,0;10.0688,-2.8799,0;
</t>
  </si>
  <si>
    <t xml:space="preserve">C03722</t>
  </si>
  <si>
    <t xml:space="preserve">r1p[c]</t>
  </si>
  <si>
    <t xml:space="preserve">alpha-D-Ribose_1-phosphate</t>
  </si>
  <si>
    <t xml:space="preserve">InChI=1/C5H11O8P/c6-1-2-3(7)4(8)5(12-2)13-14(9,10)11/h2-8H,1H2,(H2,9,10,11)/p-2
AuxInfo=1/1/N:10,7,5,2,1,14,9,6,11,12,13,3,4,8/E:(9,10,11)/rA:14CCOOCOCPOCO-O-OO/rB:s1;s1;s1;s2;s2;s3s5;s4;s5;s7;s8;s8;d8;s10;/rC:.5053,-.7513,0;.8486,.7366,0;-.9779,-.9272,0;1.7866,-1.5424,0;-.5029,1.5014,0;2.3582,.9658,0;-1.6527,.4433,0;3.2941,-1.7129,0;.0627,2.9447,0;-3.1437,.9518,0;2.5019,-.4041,0;2.9704,-3.1924,0;4.7985,-1.4721,0;-4.3505,.0226,0;
</t>
  </si>
  <si>
    <t xml:space="preserve">C00620</t>
  </si>
  <si>
    <t xml:space="preserve">r5p[c]</t>
  </si>
  <si>
    <t xml:space="preserve">D-Ribose_5-phosphate</t>
  </si>
  <si>
    <t xml:space="preserve">InChI=1/C5H11O8P/c6-3-2(1-12-14(9,10)11)13-5(8)4(3)7/h2-8H,1H2,(H2,9,10,11)/p-2/t2-,3-,4-,5?/s2
AuxInfo=1/1/N:14,11,10,12,13,3,4,5,7,8,9,6,2,1/E:(9,10,11)/rA:23POOOOOO-O-OC.oC.eC.oCCHHHHHHHHH/rB:;;;;s1;s1;s1;d1;s3;s2s10;s4s10;s2s5s12;s6s11;s10;s11;s12;s13;s14;s14;s3;s4;s5;/rC:4.7432,2.1889,0;9.2385,.6358,0;7.5632,-2.9798,0;10.9137,-2.9798,0;11.9491,.2066,0;6.2078,1.7129,0;3.2784,2.6649,0;5.219,3.6534,0;4.2672,.7243,0;8.4685,-1.7339,0;7.9925,-.2692,0;10.0085,-1.7339,0;10.4843,-.2692,0;6.5279,.2066,0;7.5253,-1.5844,0;7.8432,.6737,0;9.5749,-2.5846,0;11.1595,-.9443,0;5.5737,.1732,0;6.395,-.7388,0;7.9516,-3.8521,0;11.8632,-2.8799,0;12.1475,1.1405,0;
</t>
  </si>
  <si>
    <t xml:space="preserve">C00117</t>
  </si>
  <si>
    <t xml:space="preserve">rb15bp[c]</t>
  </si>
  <si>
    <t xml:space="preserve">D-Ribulose-bisphosphate</t>
  </si>
  <si>
    <t xml:space="preserve">C5H8O11P2</t>
  </si>
  <si>
    <t xml:space="preserve">InChI=1S/C5H12O11P2/c6-3(1-15-17(9,10)11)5(8)4(7)2-16-18(12,13)14/h3,5-6,8H,1-2H2,(H2,9,10,11)(H2,12,13,14)/p-4/t3-,5-/m1/s1
AuxInfo=1/1/N:16,18,14,17,15,3,7,4,8,9,10,11,12,13,5,6,1,2/E:(9,10,11)(12,13,14)/it:im/rA:26PPOOOOOO-O-OO-O-OC.eC.oCCCHHHHHHHH/rB:;;;s1;s2;;s1;s1;d1;s2;s2;d2;s3;s4s14;s5s14;d7s15;s6s17;s14;s15;s16;s16;s18;s18;s3;s4;/rC:15.0834,-.3851,0;4.4137,-.3851,0;11.0824,1.9251,0;9.7485,-1.9251,0;13.7497,.3851,0;5.7475,.3851,0;8.4149,1.9251,0;16.4171,-1.1551,0;15.8534,.9486,0;14.3134,-1.7186,0;3.08,-1.1551,0;3.6437,.9486,0;5.1837,-1.7186,0;11.0824,.3851,0;9.7485,-.3851,0;12.4161,-.3851,0;8.4149,.3851,0;7.0812,-.3851,0;10.2555,.8624,0;10.5756,-.8624,0;11.8022,-1.1165,0;13.0297,-1.1165,0;6.4674,-1.1165,0;7.695,-1.1165,0;11.9091,2.4024,0;8.9217,-2.4024,0;
</t>
  </si>
  <si>
    <t xml:space="preserve">C01182</t>
  </si>
  <si>
    <t xml:space="preserve">rhcys[c]</t>
  </si>
  <si>
    <t xml:space="preserve">S-Ribosyl-L-homocysteine</t>
  </si>
  <si>
    <t xml:space="preserve">C9H17NO6S</t>
  </si>
  <si>
    <t xml:space="preserve">InChI=1/C9H17NO6S/c10-4(8(13)14)1-2-17-3-5-6(11)7(12)9(15)16-5/h4-7,9,11-12,15H,1-3,10H2,(H,13,14)/t4-,5+,6+,7+,9+/s2
AuxInfo=1/1/N:15,14,13,16,9,10,11,17,12,8,3,4,6,7,5,2,1/E:(13,14)/rA:33SOOOOO-ON+C.eC.oC.oC.eCCCC.eCHHHHHHHHHHHHHHHH/rB:;;;;;;;s2;s3s9;s4s10;s2s5s11;s1s9;s1;s14;s8s15;s6d7s16;s9;s10;s11;s12;s13;s13;s3;s4;s14;s14;s15;s15;s5;s16;s8;s8;/rC:8.3819,.0954,0;11.4126,-.9817,0;9.7375,-4.5974,0;13.0878,-4.5974,0;14.1232,-1.411,0;3.3477,4.5358,0;5.9567,5.0904,0;3.9879,1.523,0;10.1668,-1.8868,0;10.6426,-3.3514,0;12.1826,-3.3514,0;12.6584,-1.8868,0;8.702,-1.411,0;6.9173,.5712,0;6.5972,2.0776,0;5.1326,2.5534,0;4.8123,4.0598,0;10.0175,-.9438,0;9.6996,-3.2021,0;13.1257,-3.2021,0;13.3336,-2.562,0;7.748,-1.4444,0;8.5691,-2.3565,0;10.1257,-5.4697,0;14.0373,-4.4975,0;5.9633,.538,0;6.7844,-.3743,0;7.5514,2.1108,0;6.7299,3.0231,0;14.3216,-.4771,0;5.331,1.6195,0;3.08,1.8181,0;4.1866,.5891,0;
</t>
  </si>
  <si>
    <t xml:space="preserve">C03539</t>
  </si>
  <si>
    <t xml:space="preserve">ribflv[c]</t>
  </si>
  <si>
    <t xml:space="preserve">Riboflavin</t>
  </si>
  <si>
    <t xml:space="preserve">C17H20N4O6</t>
  </si>
  <si>
    <t xml:space="preserve">InChI=1/C17H20N4O6/c1-7-3-9-10(4-8(7)2)21(5-11(23)14(25)12(24)6-22)15-13(18-9)16(26)20-17(27)19-15/h3-4,11-12,14,22-25H,5-6H2,1-2H3,(H,20,26,27)/p-1/t11-,12+,14-/s2
AuxInfo=1/5/N:26,25,22,18,12,20,23,21,17,15,11,14,19,13,16,24,27,8,9,10,7,4,1,3,2,5,6/rA:27OOOOOONNNN-C.oCC.oC.oCCCCCCCCCCCCC/rB:;;;;;;;;;s1;s7s11;s2s11;s3s13;s7;s7d+9;s8d-15;s15;d-8s16;s4s14;d-18;s17;s21d-22;d5s10s19;s21;s23;d6s9s10;/rC:5.849,-.0657,0;8.5163,3.0143,0;4.5153,2.2443,0;4.5153,5.3243,0;11.209,-6.2791,0;13.9528,-1.5686,0;8.5163,-1.6057,0;8.5163,-4.6857,0;11.2267,-1.5523,0;12.6222,-3.9478,0;7.1827,.7043,0;8.5163,-.0657,0;7.1827,2.2443,0;5.849,3.0143,0;7.1827,-2.3757,0;9.85,-2.3757,0;7.1827,-3.9157,0;5.8061,-1.5523,0;9.85,-3.9157,0;5.849,4.5543,0;4.4107,-2.3438,0;5.8061,-4.7393,0;4.4107,-3.9478,0;11.2267,-4.7393,0;3.08,-1.5686,0;3.08,-4.7229,0;12.6222,-2.3438,0;
</t>
  </si>
  <si>
    <t xml:space="preserve">C00255</t>
  </si>
  <si>
    <t xml:space="preserve">ru5p-D[c]</t>
  </si>
  <si>
    <t xml:space="preserve">D-Ribulose_5-phosphate</t>
  </si>
  <si>
    <t xml:space="preserve">InChI=1/C5H11O8P/c6-1-3(7)5(9)4(8)2-13-14(10,11)12/h4-6,8-9H,1-2H2,(H2,10,11,12)/p-2/t4-,5+/s2
AuxInfo=1/1/N:14,12,13,10,11,6,5,3,4,7,8,9,2,1/E:(10,11,12)/rA:14POOOOOO-O-OC.oC.eCCC/rB:s1;;;;;s1;s1;d1;s3;s4s10;s2s10;d5s11;s6s13;/rC:13.2418,-.3851,0;11.908,.3851,0;9.2407,1.9249,0;7.9074,-1.9249,0;6.5738,1.9249,0;3.9066,.3851,0;14.5753,-1.1549,0;14.0116,.9486,0;12.4718,-1.7185,0;9.2407,.3851,0;7.9074,-.3851,0;10.5747,-.3851,0;6.5738,.3851,0;5.2401,-.3851,0;
</t>
  </si>
  <si>
    <t xml:space="preserve">C00199</t>
  </si>
  <si>
    <t xml:space="preserve">rust[p]</t>
  </si>
  <si>
    <t xml:space="preserve">Rusticyanin</t>
  </si>
  <si>
    <t xml:space="preserve">rustred[p]</t>
  </si>
  <si>
    <t xml:space="preserve">Rusticyanin_red</t>
  </si>
  <si>
    <t xml:space="preserve">s17bp[c]</t>
  </si>
  <si>
    <t xml:space="preserve">Sedoheptulose_1,7-bisphosphate</t>
  </si>
  <si>
    <t xml:space="preserve">InChI=1/C7H16O13P2/c8-3(1-19-21(13,14)15)5(10)7(12)6(11)4(9)2-20-22(16,17)18/h3,5-8,10-12H,1-2H2,(H2,13,14,15)(H2,16,17,18)/p-4/t3-,5-,6-,7-/s2
AuxInfo=1/1/N:20,22,18,21,16,19,17,5,9,3,6,4,10,11,12,13,14,15,7,8,1,2/E:(13,14,15)(16,17,18)/rA:34PPOOOOOOOO-O-OO-O-OC.eC.oC.eC.eCCCHHHHHHHHHHHH/rB:;;;;;s1;s2;;s1;s1;d1;s2;s2;d2;s3;s4s16;s5s16;s6s17;s7s18;d9s19;s8s21;s16;s17;s18;s19;s20;s20;s3;s4;s5;s22;s22;s6;/rC:18.5778,.3851,0;5.2407,.3851,0;13.2429,1.9251,0;11.9091,-1.9251,0;14.5766,-1.9251,0;10.5756,1.9251,0;17.2441,-.3851,0;6.5744,-.3851,0;9.2417,-1.9251,0;19.9114,1.1551,0;19.3478,-.9486,0;17.8076,1.7186,0;3.9069,1.1551,0;4.4707,-.9486,0;6.0107,1.7186,0;13.2429,.3851,0;11.9091,-.3851,0;14.5766,-.3851,0;10.5756,.3851,0;15.9103,.3851,0;9.2417,-.3851,0;7.9081,.3851,0;12.4161,.8624,0;12.7361,-.8624,0;15.4035,-.8624,0;9.7485,.8624,0;16.5241,1.1165,0;15.2966,1.1165,0;14.0698,2.4024,0;11.0824,-2.4024,0;15.4035,-2.4024,0;8.5217,1.1165,0;7.2944,1.1165,0;9.7485,2.4024,0;
</t>
  </si>
  <si>
    <t xml:space="preserve">C00447</t>
  </si>
  <si>
    <t xml:space="preserve">s7p[c]</t>
  </si>
  <si>
    <t xml:space="preserve">Sedoheptulose_7-phosphate</t>
  </si>
  <si>
    <t xml:space="preserve">InChI=1/C7H15O10P/c8-1-3(9)5(11)7(13)6(12)4(10)2-17-18(14,15)16/h4-8,10-13H,1-2H2,(H2,14,15,16)/p-2
AuxInfo=1/1/N:11,9,7,5,3,2,1,14,12,10,8,6,4,16,17,18,13,15/E:(14,15,16)/rA:18CCCOCOCOCOCOOOPO-O-O/rB:s1;s1;s1;s2;s2;s3;s3;s5;s5;s7;d7;s9;s11;s13;s15;s15;d15;/rC:1.2977,.4239,0;-.1878,-.0306,0;2.5693,-.4183,0;1.5077,1.9706,0;-1.5689,.683,0;-.6778,-1.4622,0;3.8776,.442,0;1.7741,-1.7276,0;-2.8413,-.1816,0;-1.086,2.1302,0;5.0865,-.512,0;4.2366,1.9217,0;-4.3432,.1387,0;6.4984,.0304,0;-5.8806,-.0258,0;-5.2838,-1.419,0;-6.3017,1.4407,0;-7.2262,-.7717,0;
</t>
  </si>
  <si>
    <t xml:space="preserve">C05382</t>
  </si>
  <si>
    <t xml:space="preserve">s[e]</t>
  </si>
  <si>
    <t xml:space="preserve">Sulfur</t>
  </si>
  <si>
    <t xml:space="preserve">S</t>
  </si>
  <si>
    <t xml:space="preserve">C00087</t>
  </si>
  <si>
    <t xml:space="preserve">s[p]</t>
  </si>
  <si>
    <t xml:space="preserve">scl[c]</t>
  </si>
  <si>
    <t xml:space="preserve">Sirohydrochlorin</t>
  </si>
  <si>
    <t xml:space="preserve">C42H39N4O16</t>
  </si>
  <si>
    <t xml:space="preserve">InChI=1/C42H46N4O16/c1-41(17-39(59)60)23(5-9-35(51)52)29-14-27-21(11-37(55)56)19(3-7-33(47)48)25(43-27)13-26-20(4-8-34(49)50)22(12-38(57)58)28(44-26)15-31-42(2,18-40(61)62)24(6-10-36(53)54)30(46-31)16-32(41)45-29/h13-16,23-24,43-44H,3-12,17-18H2,1-2H3,(H,47,48)(H,49,50)(H,51,52)(H,53,54)(H,55,56)(H,57,58)(H,59,60)(H,61,62)/p-8/b25-13-,26-13-,27-14-,28-15-,29-14-,30-16-,31-15-,32-16-/t23-,24-,41+,42+/s2
AuxInfo=1/1/N:34,35,56,54,31,28,58,57,38,36,55,53,52,39,37,33,29,32,51,48,45,44,24,23,50,47,43,42,30,26,27,25,62,61,49,46,60,59,40,41,21,22,20,19,18,17,14,16,13,15,6,8,5,7,10,12,9,11,1,3,2,4/E:(47,48)(49,50)(51,52)(53,54)(55,56)(57,58)(59,60)(61,62)/rA:62O-O-OOO-O-OOO-O-OOO-O-OONNNNC.eC.eC.oC.oCCCCCCCCCCCCCCCCCCCCCCCCCCCCCCCCCCCCCC/rB:;;;;;;;;;;;;;;;;;;;;;s22;s21;s18s21;d-17s23;s17s22;s23;s21;d-18s24;s24;s22;d-25s26;s21;s22;s28;d-27;s31;s30;s1d3s29;s2d4s32;s19s37;s20d-39;d-42;s43;s5d7s36;s19;s44d-47;s6d8s38;s20;d-45s50;s47d-50;s44;s48;s45;s51;s54;s56;s9d11s53;s10d12s55;s13d15s57;s14d16s58;/rC:10.1093,9.271,0;3.6413,-.8422,0;8.7899,6.9528,0;5.7994,-2.4101,0;3.9327,4.421,0;17.8491,7.672,0;5.5477,6.544,0;15.6679,9.2071,0;9.9253,-7.4224,0;20.8402,2.9458,0;12.4639,-6.6037,0;19.8098,.4853,0;13.6506,-8.9744,0;19.0523,-4.7777,0;15.7987,-7.3931,0;20.658,-2.6479,0;9.974,.8527,0;12.2377,2.9618,0;12.2892,-1.2563,0;14.602,.8527,0;11.4667,5.4292,0;7.6097,.0818,0;7.6097,1.6236,0;13.0086,5.4292,0;11.0027,3.9389,0;9.0998,2.0362,0;9.0998,-.3308,0;6.384,2.5562,0;11.4574,6.9692,0;13.5244,3.9906,0;13.8951,6.6885,0;6.0781,.2427,0;9.5125,3.5263,0;9.9992,5.8962,0;6.9832,-1.325,0;6.5787,4.0837,0;9.5641,-1.7694,0;15.4289,6.5505,0;15.0147,3.5263,0;10.1188,7.731,0;5.1727,-1.0031,0;11.0544,-2.2335,0;15.476,2.0877,0;11.5183,-3.6721,0;16.9689,1.6753,0;5.353,5.0161,0;13.5244,-2.1819,0;13.0601,-3.6721,0;16.3154,7.8099,0;15.5277,-.2793,0;16.9689,.1333,0;15.0661,-1.7694,0;10.4854,-4.8145,0;13.9729,-4.9125,0;18.1944,2.6079,0;18.1987,-.7937,0;13.3553,-6.3233,0;18.0105,-2.3221,0;10.9583,-6.2802,0;19.6149,2.013,0;14.2682,-7.5635,0;19.2403,-3.2493,0;
</t>
  </si>
  <si>
    <t xml:space="preserve">C05778</t>
  </si>
  <si>
    <t xml:space="preserve">ser-L[c]</t>
  </si>
  <si>
    <t xml:space="preserve">L-Serine</t>
  </si>
  <si>
    <t xml:space="preserve">C3H7NO3</t>
  </si>
  <si>
    <t xml:space="preserve">InChI=1/C3H7NO3/c4-2(1-5)3(6)7/h2,5H,1,4H2,(H,6,7)/t2-/s2
AuxInfo=1/1/N:6,5,7,4,1,2,3/E:(6,7)/rA:7OO-ON+C.oCC/rB:;;;s4;s1s5;s2d3s5;/rC:3.9069,-1.8327,0;7.9081,.4775,0;6.5744,2.7875,0;3.9069,1.2475,0;5.2407,.4775,0;5.2407,-1.0627,0;6.5744,1.2475,0;
</t>
  </si>
  <si>
    <t xml:space="preserve">C00065</t>
  </si>
  <si>
    <t xml:space="preserve">sheme[c]</t>
  </si>
  <si>
    <t xml:space="preserve">Siroheme</t>
  </si>
  <si>
    <t xml:space="preserve">C42H36FeN4O16</t>
  </si>
  <si>
    <t xml:space="preserve">InChI=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
AuxInfo=1/1/N:30,35,56,52,28,33,59,57,37,40,55,53,49,36,38,31,27,34,51,45,47,44,22,25,50,42,43,39,26,29,32,23,62,61,48,54,60,58,41,46,21,24,20,19,17,18,15,16,13,14,5,6,7,8,11,12,9,10,1,2,3,4/E:(47,48)(49,50)(51,52)(53,54)(55,56)(57,58)(59,60)(61,62)/it:im/rA:98O-OO-OO-OO-OO-OO-OO-OO-ONNNNC.eC.eCC.eC.eCCCCCCCCCCCCCCCCCCCCCCCCCCCCCCCCCCCCCHHHHHHHHHHHHHHHHHHHHHHHHHHHHHHHHHHHH/rB:;;;;;;;;;;;;;;;;;;;;s21;s17s21;;s24;s17s22;s21;s22;d-18s25;s21;d-23s29;s18s24;s25;s24;s24;d-26;s28;d-32;s19s38;s33;s1d2s27;s19;d+20s36;d-39;d-42s44;s3d4s34;s43;s5d6s37;s42;s20d-49;d-47s50;s45;s44;s7d8s40;s47;s51;s52;s9d10s53;s56;s11d12s55;s13d14s57;s15d16s59;s22;s25;s27;s27;s28;s28;s30;s30;s30;s31;s33;s33;s34;s34;s35;s35;s35;s36;s37;s37;s38;s40;s40;s49;s52;s52;s53;s53;s55;s55;s56;s56;s57;s57;s59;s59;/rC:11.6649,8.6039,0;10.3309,6.2606,0;5.3701,-1.9891,0;7.7344,-3.2855,0;19.4513,6.9871,0;17.2464,8.5393,0;3.8818,1.6477,0;5.5145,3.7936,0;11.8867,-8.1993,0;14.3512,-7.105,0;20.7455,4.4464,0;18.0707,4.1049,0;19.5491,-6.4223,0;17.3775,-8.0207,0;23.8175,-1.1631,0;22.1943,-3.3163,0;13.7974,2.2857,0;11.564,.2052,0;13.8483,-1.8756,0;16.13,.2052,0;13.0369,4.7203,0;14.5581,4.7203,0;12.5789,3.2498,0;9.2314,-.5555,0;9.2314,.9655,0;15.0667,3.3008,0;13.0274,6.2769,0;15.4542,5.9933,0;10.7019,1.3725,0;11.5533,5.1923,0;11.1088,2.8429,0;10.7019,-.9626,0;7.9925,1.9082,0;7.6749,-.5897,0;8.7831,-2.0463,0;16.5369,2.8429,0;17.0046,5.8536,0;11.1596,-2.3819,0;12.6298,-2.8399,0;6.5567,1.3066,0;11.6744,7.0471,0;15.0667,-2.7889,0;16.9923,1.4234,0;13.0877,-4.2593,0;14.609,-4.2593,0;6.9264,-1.9547,0;18.4651,1.0163,0;17.9009,7.1268,0;16.5879,-2.3819,0;17.0432,-.9117,0;18.4651,-.5047,0;15.5317,-5.5131,0;12.1713,-5.5178,0;5.3176,2.2493,0;19.7038,1.9593,0;19.7082,-1.4419,0;17.079,-5.3408,0;12.8031,-6.9407,0;21.1414,-.8338,0;19.5067,3.5035,0;18.0019,-6.5947,0;22.3843,-1.771,0;14.1135,5.577,0;8.3666,.5369,0;13.9789,6.1152,0;13.3519,7.1859,0;15.7062,6.925,0;14.5803,6.4033,0;11.846,6.1121,0;10.6335,5.485,0;11.2607,4.2725,0;10.4263,3.5254,0;8.7015,2.5633,0;7.4705,2.7202,0;7.8216,.3643,0;6.7609,-.2796,0;7.8588,-1.7684,0;8.5052,-2.9706,0;9.7074,-2.3243,0;17.2165,3.5284,0;16.7526,4.922,0;17.8785,5.4436,0;10.4805,-3.0679,0;5.8477,.6517,0;7.0785,.4946,0;17.257,-3.0777,0;14.6669,-5.9416,0;15.8035,-6.4393,0;11.5014,-4.8229,0;11.3705,-6.0568,0;20.1461,1.1013,0;20.6254,2.2459,0;19.002,-2.1,0;20.2336,-2.2515,0;17.944,-4.9124,0;16.8072,-4.4147,0;21.8474,-.1758,0;20.6158,-.0243,0;
</t>
  </si>
  <si>
    <t xml:space="preserve">C00748</t>
  </si>
  <si>
    <t xml:space="preserve">skm5p[c]</t>
  </si>
  <si>
    <t xml:space="preserve">Shikimate_3-phosphate</t>
  </si>
  <si>
    <t xml:space="preserve">C7H8O8P</t>
  </si>
  <si>
    <t xml:space="preserve">InChI=1/C7H11O8P/c8-4-1-3(7(10)11)2-5(6(4)9)15-16(12,13)14/h2,4-6,8-9H,1H2,(H,10,11)(H2,12,13,14)/p-3/t4-,5-,6+/s2
AuxInfo=1/1/N:13,15,14,11,12,10,16,4,3,5,8,6,7,9,2,1/E:(10,11)(12,13,14)/rA:24POOOO-O-O-OOC.eC.eC.eCCCCHHHHHHHH/rB:s1;;;;s1;s1;;d1;s3;s4s10;s2s10;s11;s13;s12d-14;s5d8s14;s10;s11;s12;s13;s13;s15;s3;s4;/rC:7.9081,2.8414,0;6.5744,2.0713,0;3.9069,.5313,0;3.9069,-2.5487,0;9.2417,-4.0887,0;9.2417,3.6114,0;7.1381,4.175,0;10.5756,-1.7787,0;8.6781,1.5077,0;5.2407,-.2387,0;5.2407,-1.7787,0;6.5744,.5313,0;6.5744,-2.5487,0;7.9081,-1.7787,0;7.9081,-.2387,0;9.2417,-2.5487,0;5.2407,.7161,0;5.2407,-2.7335,0;7.4013,1.0087,0;5.9606,-3.2803,0;7.1882,-3.2803,0;8.7351,.2387,0;3.08,.0539,0;3.9069,-3.5035,0;
</t>
  </si>
  <si>
    <t xml:space="preserve">C03175</t>
  </si>
  <si>
    <t xml:space="preserve">skm[c]</t>
  </si>
  <si>
    <t xml:space="preserve">Shikimate</t>
  </si>
  <si>
    <t xml:space="preserve">C7H9O5</t>
  </si>
  <si>
    <t xml:space="preserve">InChI=1/C7H10O5/c8-4-1-3(7(11)12)2-5(9)6(4)10/h1,4-6,8-10H,2H2,(H,11,12)/p-1/t4-,5-,6-/s2
AuxInfo=1/1/N:11,9,10,8,7,6,12,3,2,1,4,5/E:(11,12)/rA:21OOOO-OC.eC.eC.eCCCCHHHHHHHHH/rB:;;;;s1;s2s6;s3s6;s7;s9;s8d-10;s4d5s10;s6;s7;s8;s9;s9;s11;s1;s2;s3;/rC:6.5744,3.7038,0;3.9069,2.1638,0;9.2417,2.1638,0;5.2407,-3.2263,0;7.9081,-3.2263,0;6.5744,2.1638,0;5.2407,1.3937,0;7.9081,1.3937,0;5.2407,-.1463,0;6.5744,-.9163,0;7.9081,-.1463,0;6.5744,-2.4563,0;7.4013,2.6411,0;5.2407,2.3486,0;7.9081,2.3486,0;4.3004,.0196,0;4.9142,-1.0435,0;8.7351,-.6237,0;7.4013,4.1811,0;3.08,1.6863,0;10.0688,1.6863,0;
</t>
  </si>
  <si>
    <t xml:space="preserve">C00493</t>
  </si>
  <si>
    <t xml:space="preserve">sl26da[c]</t>
  </si>
  <si>
    <t xml:space="preserve">N-Succinyl-LL-2,6-diaminoheptanedioate</t>
  </si>
  <si>
    <t xml:space="preserve">C11H16N2O7</t>
  </si>
  <si>
    <t xml:space="preserve">InChI=1/C11H18N2O7/c12-6(10(17)18)2-1-3-7(11(19)20)13-8(14)4-5-9(15)16/h6-7H,1-5,12H2,(H,13,14)(H,15,16)(H,17,18)(H,19,20)/p-2/t6-,7-/s2
AuxInfo=1/1/N:11,13,10,18,19,14,12,16,20,17,15,9,8,4,6,7,3,5,1,2/E:(15,16)(17,18)(19,20)/rA:20O-OO-OOO-ONN+CCC.oCC.oCCCCCC/rB:;;;;;;;;;s10;s8s10;s11;s9s13;s1d2s12;d4s8;s3d5s14;s16;s18;s6d7s19;/rC:5.2407,2.7875,0;6.5744,5.0975,0;3.9069,-4.1427,0;10.5756,1.2475,0;6.5744,-4.1427,0;15.9103,2.7875,0;14.5766,5.0975,0;9.2417,3.5575,0;3.9069,-1.0627,0;7.9081,1.2475,0;6.5744,.4775,0;7.9081,2.7875,0;6.5744,-1.0627,0;5.2407,-1.8327,0;6.5744,3.5575,0;10.5756,2.7875,0;5.2407,-3.3727,0;11.9091,3.5575,0;13.2429,2.7875,0;14.5766,3.5575,0;
</t>
  </si>
  <si>
    <t xml:space="preserve">C04421</t>
  </si>
  <si>
    <t xml:space="preserve">sl2a6o[c]</t>
  </si>
  <si>
    <t xml:space="preserve">N-Succinyl-L-2-amino-6-oxoheptanedioate</t>
  </si>
  <si>
    <t xml:space="preserve">C11H12NO8</t>
  </si>
  <si>
    <t xml:space="preserve">InChI=1/C11H15NO8/c13-7(11(19)20)3-1-2-6(10(17)18)12-8(14)4-5-9(15)16/h6H,1-5H2,(H,12,14)(H,15,16)(H,17,18)(H,19,20)/p-3/t6-/s2
AuxInfo=1/1/N:12,10,13,16,18,11,17,15,20,14,19,9,4,3,6,8,1,2,5,7/E:(15,16)(17,18)(19,20)/rA:20O-OOOO-O-OONCC.oCCCCCCCCC/rB:;;;;;;;;;s9s10;s10;s12;s1d2s11;d3s9;s15;d4s13;s16;s5d7s17;s6d8s18;/rC:4.4137,2.7875,0;5.7475,5.0975,0;9.7485,1.2475,0;3.08,-1.0627,0;3.08,-4.1427,0;15.0834,2.7875,0;5.7475,-4.1427,0;13.7497,5.0975,0;8.4149,3.5575,0;7.0812,1.2475,0;7.0812,2.7875,0;5.7475,.4775,0;5.7475,-1.0627,0;5.7475,3.5575,0;9.7485,2.7875,0;11.0824,3.5575,0;4.4137,-1.8327,0;12.4161,2.7875,0;4.4137,-3.3727,0;13.7497,3.5575,0;
</t>
  </si>
  <si>
    <t xml:space="preserve">C04462</t>
  </si>
  <si>
    <t xml:space="preserve">so3[c]</t>
  </si>
  <si>
    <t xml:space="preserve">Sulfite</t>
  </si>
  <si>
    <t xml:space="preserve">O3S</t>
  </si>
  <si>
    <t xml:space="preserve">InChI=1S/H2O3S/c1-4(2)3/h(H2,1,2,3)/p-1
AuxInfo=1/1/N:2,3,4,1/E:(1,2,3)/rA:5SOO-OH/rB:s1;s1;d1;s2;/rC:5.2407,.3851,0;6.5744,1.1551,0;3.9069,1.1551,0;5.2407,-1.1551,0;7.4013,.6776,0;
</t>
  </si>
  <si>
    <t xml:space="preserve">C00094</t>
  </si>
  <si>
    <t xml:space="preserve">so3[p]</t>
  </si>
  <si>
    <t xml:space="preserve">so4[c]</t>
  </si>
  <si>
    <t xml:space="preserve">Sulfate</t>
  </si>
  <si>
    <t xml:space="preserve">O4S</t>
  </si>
  <si>
    <t xml:space="preserve">InChI=1S/H2O4S/c1-5(2,3)4/h(H2,1,2,3,4)/p-2
AuxInfo=1/1/N:2,3,4,5,1/E:(1,2,3,4)/CRV:5.6/rA:5SO-O-OO/rB:s1;s1;d1;d1;/rC:5.2407,0,0;6.5744,.77,0;3.9069,-.77,0;4.4707,1.3337,0;6.0107,-1.3337,0;
</t>
  </si>
  <si>
    <t xml:space="preserve">C00059</t>
  </si>
  <si>
    <t xml:space="preserve">so4[e]</t>
  </si>
  <si>
    <t xml:space="preserve">so4[p]</t>
  </si>
  <si>
    <t xml:space="preserve">so4aa[e]</t>
  </si>
  <si>
    <t xml:space="preserve">so4aa[p]</t>
  </si>
  <si>
    <t xml:space="preserve">SulfateAA</t>
  </si>
  <si>
    <t xml:space="preserve">spmd[c]</t>
  </si>
  <si>
    <t xml:space="preserve">Spermidine</t>
  </si>
  <si>
    <t xml:space="preserve">C7H22N3</t>
  </si>
  <si>
    <t xml:space="preserve">InChI=1S/C7H19N3/c8-4-1-2-6-10-7-3-5-9/h10H,1-9H2/p+3
AuxInfo=1/1/N:6,4,8,9,10,5,7,2,3,1/rA:10N+N+N+CCCCCCC/rB:;;;s1s4;s4;s1;s7;s2s6;s3s8;/rC:10.5747,-.3851,0;3.9066,.3851,0;15.9089,-.3851,0;7.9074,-.3851,0;9.2407,.3851,0;6.5738,.3851,0;11.908,.3851,0;13.2418,-.3851,0;5.2401,-.3851,0;14.5753,.3851,0;
</t>
  </si>
  <si>
    <t xml:space="preserve">C00315</t>
  </si>
  <si>
    <t xml:space="preserve">succ[c]</t>
  </si>
  <si>
    <t xml:space="preserve">Succinate</t>
  </si>
  <si>
    <t xml:space="preserve">C4H4O4</t>
  </si>
  <si>
    <t xml:space="preserve">InChI=1S/C4H6O4/c5-3(6)1-2-4(7)8/h1-2H2,(H,5,6)(H,7,8)/p-2
AuxInfo=1/1/N:5,6,7,8,1,3,2,4/E:(1,2)(3,4)(5,6,7,8)/gE:(1,2)/rA:12O-O-OOCCCCHHHH/rB:;;;;s5;s1d3s5;s2d4s6;s5;s5;s6;s6;/rC:3.9069,.3851,0;10.5756,-.3851,0;5.2407,-1.9251,0;9.2417,1.9251,0;6.5744,.3851,0;7.9081,-.3851,0;5.2407,-.3851,0;9.2417,.3851,0;7.1882,1.1165,0;5.9606,1.1165,0;7.2944,-1.1165,0;8.5217,-1.1165,0;
</t>
  </si>
  <si>
    <t xml:space="preserve">C00042</t>
  </si>
  <si>
    <t xml:space="preserve">succoa[c]</t>
  </si>
  <si>
    <t xml:space="preserve">Succinyl-CoA</t>
  </si>
  <si>
    <t xml:space="preserve">InChI=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?,24-/s2
AuxInfo=1/1/N:43,44,54,53,48,47,50,51,35,41,45,37,33,49,55,52,38,32,31,40,42,36,46,34,39,28,30,29,27,26,25,24,20,22,23,21,7,15,19,9,10,13,14,16,17,18,8,12,5,6,11,2,3,4,1/E:(1,2)(34,35)(40,41,42)(43,44)(45,46)/rA:55SPPPOOOOO-O-OOOO-OOO-OOOOO-ONNNNNNNC.oC.eC.oC.oCCCCCCCCCCCCCCCCCCCCC/rB:;;;;s2;;s3;s2;s2;s3s4;s4;d2;s3;;d3;s4;d4;;;;;;;;;;;;;s6;s7s31;s5s31;s5s24s32;s8s33;s24d+26;s24d-25;s25s36;;s15s39;s12s39;s27s28d+38;s39;s39;s26d-27;d19s29s40;s29;s47;d20s30s48;s30;s1s50;s1d21;s52;s53;s22d23s54;/rC:8.8377,10.0193,0;29.2031,-4.1184,0;24.1978,-2.8211,0;22.2184,-1.0328,0;25.7428,-7.3192,0;29.3614,-5.6504,0;29.3558,-9.0009,0;24.671,-4.2866,0;29.0448,-2.5866,0;30.7349,-3.9601,0;23.7242,-1.3558,0;20.7127,-.7101,0;27.6713,-4.2767,0;22.7323,-3.2945,0;16.1954,.2583,0;25.6629,-2.3479,0;22.5413,.4728,0;21.8956,-2.5387,0;17.7867,4.009,0;13.8285,7.5856,0;6.2994,9.1995,0;3.3736,13.9186,0;5.9117,14.7386,0;26.1673,-10.0305,0;26.1673,-12.5091,0;23.3766,-9.7298,0;22.0429,-12.0398,0;23.3766,-14.3498,0;15.2484,3.189,0;11.2902,6.7655,0;28.1141,-6.5533,0;28.1113,-8.0935,0;26.6502,-6.0749,0;26.6459,-8.5669,0;26.1768,-4.6094,0;24.7102,-10.4998,0;27.0661,-11.2698,0;24.7102,-12.0398,0;18.7335,1.0782,0;17.2277,1.4009,0;20.2391,.7554,0;23.3766,-12.8098,0;19.0564,2.5838,0;18.4107,-.4277,0;22.0429,-10.4998,0;16.7543,2.8663,0;14.775,4.6545,0;13.2694,4.9773,0;12.796,6.4428,0;10.8168,8.2311,0;9.3109,8.5538,0;7.3319,10.3421,0;6.8585,11.8076,0;5.3527,12.1303,0;4.8795,13.5959,0;
</t>
  </si>
  <si>
    <t xml:space="preserve">C00091</t>
  </si>
  <si>
    <t xml:space="preserve">tRNAglu[c]</t>
  </si>
  <si>
    <t xml:space="preserve">tRNA_Glu</t>
  </si>
  <si>
    <t xml:space="preserve">tddec2eACP[c]</t>
  </si>
  <si>
    <t xml:space="preserve">2-trans-Dodecenoyl-ACP</t>
  </si>
  <si>
    <t xml:space="preserve">C05758</t>
  </si>
  <si>
    <t xml:space="preserve">tdec2eACP[c]</t>
  </si>
  <si>
    <t xml:space="preserve">2-trans-Decenoyl-ACP</t>
  </si>
  <si>
    <t xml:space="preserve">C05754</t>
  </si>
  <si>
    <t xml:space="preserve">thdp[c]</t>
  </si>
  <si>
    <t xml:space="preserve">2,3,4,5-Tetrahydrodipicolinate</t>
  </si>
  <si>
    <t xml:space="preserve">C7H7NO4</t>
  </si>
  <si>
    <t xml:space="preserve">InChI=1/C7H9NO4/c9-6(10)4-2-1-3-5(8-4)7(11)12/h4H,1-3H2,(H,9,10)(H,11,12)/p-2/t4-/s2
AuxInfo=1/1/N:7,6,9,8,10,11,12,5,1,2,3,4/E:(9,10)(11,12)/rA:19O-OO-ONCCC.eCCCCHHHHHHH/rB:;;;;;s6;s5s6;s7;d-5s9;s1d2s8;s3d4s10;s6;s6;s7;s7;s8;s9;s9;/rC:3.9069,0,0;5.2407,-2.31,0;11.9091,0,0;10.5756,-2.31,0;7.9081,-.77,0;6.5744,1.54,0;7.9081,2.31,0;6.5744,0,0;9.2417,1.54,0;9.2417,0,0;5.2407,-.77,0;10.5756,-.77,0;6.2477,2.4373,0;5.634,1.3742,0;8.5217,3.0415,0;7.2944,3.0415,0;6.5744,-.9548,0;10.1821,1.3742,0;9.5683,2.4373,0;
</t>
  </si>
  <si>
    <t xml:space="preserve">C03972</t>
  </si>
  <si>
    <t xml:space="preserve">thepcaACP[c]</t>
  </si>
  <si>
    <t xml:space="preserve">2-trans-Heptadecenoyl-ACP</t>
  </si>
  <si>
    <t xml:space="preserve">C28H51N2O8PRS</t>
  </si>
  <si>
    <t xml:space="preserve">thex2eACP[c]</t>
  </si>
  <si>
    <t xml:space="preserve">2-trans-Hexenoyl-ACP</t>
  </si>
  <si>
    <t xml:space="preserve">C17H29N2O8PRS</t>
  </si>
  <si>
    <t xml:space="preserve">C05748</t>
  </si>
  <si>
    <t xml:space="preserve">thf[c]</t>
  </si>
  <si>
    <t xml:space="preserve">Tetrahydrofolate</t>
  </si>
  <si>
    <t xml:space="preserve">C19H21N7O6</t>
  </si>
  <si>
    <t xml:space="preserve">InChI=1/C19H23N7O6/c20-19-25-15-14(17(30)26-19)23-11(8-22-15)7-21-10-3-1-9(2-4-10)16(29)24-12(18(31)32)5-6-13(27)28/h1-4,11-12,21,23H,5-8H2,(H,24,29)(H,27,28)(H,31,32)(H4,20,22,25,26,30)/p-2/t11?,12-/s2
AuxInfo=1/1/N:27,28,24,25,23,29,16,15,26,19,14,22,32,17,18,30,20,31,21,13,9,8,7,12,10,11,5,6,2,1,3,4/E:(1,2)(3,4)(27,28)(31,32)/rA:32OOO-OO-ONNNNNNNCCCCCCCCC.oCCCCCCCCCC/rB:;;;;;;;;;;;;s7;s8s14;s9s14;s7;s8s10d-17;s9;d1s11s17;s10d-11s13;s12;s22;d+19;s19;;s24d-26;d-25s26;s23;d2s12s26;s3d4s22;s5d6s29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14.6782,-1.8926,0;6.5744,-1.94,0;5.2407,-4.2502,0;21.3377,.4431,0;21.3317,1.9831,0;16.0147,-2.6574,0;14.6722,-.3524,0;17.3395,-.3423,0;17.3454,-1.8823,0;16.0029,.4226,0;22.6625,2.7584,0;18.6702,.4329,0;22.6742,-.3216,0;22.6565,4.2984,0;
</t>
  </si>
  <si>
    <t xml:space="preserve">C00101</t>
  </si>
  <si>
    <t xml:space="preserve">thglu[c]</t>
  </si>
  <si>
    <t xml:space="preserve">Tetrahydropteroyltri-L-glutamate</t>
  </si>
  <si>
    <t xml:space="preserve">C24H34N8O12</t>
  </si>
  <si>
    <t xml:space="preserve">InChI=1S/C24H34N8O12/c1-9(42-21(39)10(25)2-5-14(33)34)18(43-22(40)11(26)3-6-15(35)36)13-8-29-19-17(30-13)20(32-24(28)31-19)44-23(41)12(27)4-7-16(37)38/h8-12,18,30H,2-7,25-27H2,1H3,(H,33,34)(H,35,36)(H,37,38)(H3,28,29,31,32)/t9?,10-,11-,12-,18?/m0/s1
AuxInfo=1/1/N:24,33,31,38,36,35,41,25,22,28,27,37,23,43,42,44,26,21,30,34,32,29,40,39,16,15,19,20,14,13,17,18,8,10,7,9,11,12,5,4,6,2,1,3/E:(33,34)(35,36)(37,38)/it:im/rA:75OOOOOOO-O-OOO-ONNN+N+NNN+NCCCCCCC.oC.oCCCCCCCCC.eCCCCCCCHHHHHHHHHHHHHHHHHHHHHHHHHHHHHHH/rB:;;;;;;;;;;;;;;;;;;;s1;s2s21;s13s21;s22;s14d-23;s13;s15;s16;s1d4s27;s14d+17s26;s27;s2d5s28;s28;s3s18d-26;s31;s33;s19;s37;s17d-18s20;s3d6s37;s38;s7d9s35;s8d10s36;s11d12s41;s21;s22;s24;s24;s24;s13;s25;s27;s28;s31;s31;s14;s33;s33;s35;s35;s36;s36;s15;s15;s37;s16;s16;s38;s38;s41;s41;s19;s19;s20;s20;/rC:10.5756,2.5722,0;10.5756,-.5079,0;17.2692,.2088,0;9.2417,.2621,0;11.9092,-2.818,0;19.9365,.178,0;5.2407,7.1923,0;3.9069,-2.818,0;7.9081,7.1923,0;5.2407,-.5079,0;15.8554,-6.7053,0;14.5485,-4.38,0;14.5766,1.8021,0;14.5766,4.8822,0;6.5744,1.8021,0;9.2417,-4.358,0;17.287,4.9357,0;18.6825,2.5401,0;19.9009,-2.9019,0;20.0132,4.9195,0;11.9092,1.8021,0;11.9092,.2621,0;13.2429,2.5722,0;13.2429,-.5079,0;13.2429,4.1122,0;15.9104,2.5722,0;7.9081,2.5722,0;9.2417,-2.818,0;9.2417,1.8021,0;15.9104,4.1122,0;7.9081,4.1122,0;10.5756,-2.0479,0;7.9081,-2.0479,0;17.287,1.7489,0;6.5744,4.8822,0;6.5744,-2.818,0;18.5762,-2.1165,0;17.2336,-2.8709,0;18.6825,4.1442,0;18.5939,-.5764,0;17.2159,-4.411,0;6.5744,6.4222,0;5.2407,-2.0479,0;15.8733,-5.1654,0;11.9092,2.757,0;11.9092,-.6927,0;12.7655,-1.3347,0;14.0697,-.9853,0;13.7203,.3191,0;14.5766,.8473,0;12.4161,4.5896,0;7.9081,1.6173,0;10.0687,-3.2954,0;8.8484,3.9465,0;8.2347,5.0094,0;14.5766,5.837,0;8.5218,-1.3164,0;7.2944,-1.3164,0;5.6341,5.0481,0;6.2478,3.985,0;5.9607,-3.5493,0;7.1881,-3.5493,0;5.7474,2.2796,0;6.5744,.8473,0;18.5651,-3.0711,0;8.4149,-4.8354,0;10.0687,-4.8354,0;16.9174,-1.97,0;16.2914,-3.0259,0;17.5321,-5.3119,0;18.1579,-4.256,0;19.8898,-3.8566,0;20.7332,-2.434,0;20.8419,4.4453,0;20.0095,5.8743,0;
</t>
  </si>
  <si>
    <t xml:space="preserve">C04144</t>
  </si>
  <si>
    <t xml:space="preserve">thm[c]</t>
  </si>
  <si>
    <t xml:space="preserve">Thiamine</t>
  </si>
  <si>
    <t xml:space="preserve">C12H17N4OS</t>
  </si>
  <si>
    <t xml:space="preserve">InChI=1S/C12H17N4OS/c1-8-11(3-4-17)18-7-16(8)6-10-5-14-9(2)15-12(10)13/h5,7,17H,3-4,6H2,1-2H3,(H2,13,14,15)/q+1
AuxInfo=1/1/N:13,18,10,14,16,8,12,7,17,11,9,15,6,5,4,3,2,1/CRV:16+1/rA:35SON+NNNCCCCCCCCCCCCHHHHHHHHHHHHHHHHH/rB:;;;;;s3;s3;s1d-7;s9;s8;s1d-3;s7;s2s10;d+4s6s11;s5d+11;s4d-5;s17;s8;s8;s10;s10;s12;s13;s13;s13;s14;s14;s16;s6;s6;s2;s18;s18;s18;/rC:3.556,1.5869,0;6.28,5.4856,0;4.326,-.7829,0;6.9935,-5.4031,0;8.3272,-3.0931,0;4.326,-5.4031,0;5.5718,.1223,0;4.326,-2.3231,0;5.096,1.5869,0;6.0011,2.8327,0;5.6595,-3.0931,0;3.08,.1223,0;7.0366,-.3535,0;5.3749,4.2398,0;5.6595,-4.6331,0;6.9935,-2.3231,0;8.3272,-4.6331,0;9.6607,-5.4031,0;3.3856,-2.1573,0;3.9995,-3.2202,0;6.6646,2.1461,0;6.7928,3.3669,0;2.1719,-.1729,0;6.7415,-1.2617,0;7.9447,-.6487,0;7.3317,.5544,0;4.7117,4.9265,0;4.5832,3.7057,0;6.9935,-1.3681,0;4.326,-6.3579,0;3.4991,-4.9256,0;5.8918,6.3579,0;9.1834,-6.23,0;10.4877,-5.8804,0;10.1382,-4.5761,0;
</t>
  </si>
  <si>
    <t xml:space="preserve">C00378</t>
  </si>
  <si>
    <t xml:space="preserve">thmmp[c]</t>
  </si>
  <si>
    <t xml:space="preserve">Thiamine_monophosphate</t>
  </si>
  <si>
    <t xml:space="preserve">C12H16N4O4PS</t>
  </si>
  <si>
    <t xml:space="preserve">InChI=1S/C12H17N4O4PS/c1-8-11(3-4-20-21(17,18)19)22-7-16(8)6-10-5-14-9(2)15-12(10)13/h5,7H,3-4,6H2,1-2H3,(H3-,13,14,15,17,18,19)/p-1
AuxInfo=1/2/N:17,22,14,18,20,13,15,11,21,16,12,19,10,9,8,7,4,5,6,3,2,1/E:(17,18,19)/CRV:16+1,18-1/rA:38SPOO-O-ON+NNNCCCCCCCCCCCCHHHHHHHHHHHHHHHH/rB:;s2;s2;s2;d2;;;;;s7;s1d-11;s7;s12;s1d-7;s13;s11;s3s14;d+8s10s16;s9d+16;s8d-9;s21;s13;s13;s14;s14;s15;s17;s17;s17;s18;s18;s20;s10;s10;s22;s22;s22;/rC:3.556,.23,0;5.6536,5.5354,0;6.28,4.1287,0;5.0273,6.9425,0;7.0607,6.1621,0;4.2469,4.9091,0;4.326,-2.1399,0;6.9935,-6.7601,0;8.3272,-4.4501,0;4.326,-6.7601,0;5.5718,-1.2348,0;5.096,.23,0;4.326,-3.6801,0;6.0011,1.4758,0;3.08,-1.2348,0;5.6595,-4.4501,0;7.0366,-1.7106,0;5.3749,2.8827,0;5.6595,-5.9901,0;6.9935,-3.6801,0;8.3272,-5.9901,0;9.6607,-6.7601,0;3.3856,-3.5142,0;3.9995,-4.5773,0;6.6646,.789,0;6.7928,2.0097,0;2.1719,-1.5299,0;6.7415,-2.6187,0;7.9447,-2.0057,0;7.3317,-.8025,0;4.7117,3.5694,0;4.5832,2.3488,0;6.9935,-2.7253,0;4.326,-7.7149,0;3.4991,-6.2826,0;9.1834,-7.5871,0;10.4877,-7.2376,0;10.1382,-5.9332,0;
</t>
  </si>
  <si>
    <t xml:space="preserve">C01081</t>
  </si>
  <si>
    <t xml:space="preserve">thmpp[c]</t>
  </si>
  <si>
    <t xml:space="preserve">Thiamine_diphosphate</t>
  </si>
  <si>
    <t xml:space="preserve">C12H16N4O7P2S</t>
  </si>
  <si>
    <t xml:space="preserve">InChI=1S/C12H18N4O7P2S/c1-8-11(3-4-22-25(20,21)23-24(17,18)19)26-7-16(8)6-10-5-14-9(2)15-12(10)13/h5,7H,3-4,6H2,1-2H3,(H4-,13,14,15,17,18,19,20,21)/p-1
AuxInfo=1/2/N:22,26,18,20,24,17,19,15,25,21,16,23,14,13,12,11,8,9,10,6,7,4,5,3,2,1/E:(17,18,19)(20,21)/CRV:16+1,18-1/rA:26SPPOOO-OOO-ON+NNNCCCCCCCCCCCC/rB:;;s2;s2s3;s2;d2;s3;s3;d3;;;;;s11;s1d-15;s11;s16;s1d-11;s4s18;s17;s15;d+12s14s21;s13d+21;s12d-13;s25;/rC:3.556,-1.0659,0;5.6536,4.2398,0;5.9325,6.8927,0;6.28,2.8327,0;5.0273,5.6465,0;7.0607,4.866,0;4.2469,3.6133,0;6.8376,8.1385,0;4.6865,7.7976,0;7.1785,5.9873,0;4.326,-3.4358,0;6.9935,-8.056,0;8.3272,-5.7458,0;4.326,-8.056,0;5.5718,-2.5306,0;5.096,-1.0659,0;4.326,-4.9758,0;6.0011,.1799,0;3.08,-2.5306,0;5.3749,1.5869,0;5.6595,-5.7458,0;7.0366,-3.0065,0;5.6595,-7.286,0;6.9935,-4.9758,0;8.3272,-7.286,0;9.6607,-8.056,0;
</t>
  </si>
  <si>
    <t xml:space="preserve">C00068</t>
  </si>
  <si>
    <t xml:space="preserve">thr-L[c]</t>
  </si>
  <si>
    <t xml:space="preserve">L-Threonine</t>
  </si>
  <si>
    <t xml:space="preserve">InChI=1/C4H9NO3/c1-2(6)3(5)4(7)8/h2-3,6H,5H2,1H3,(H,7,8)/t2-,3+/s2
AuxInfo=1/1/N:7,5,6,8,4,1,2,3/E:(7,8)/rA:8OO-ON+C.oC.oCC/rB:;;;s1;s4s5;s5;s2d3s6;/rC:9.2417,-.1463,0;3.9069,-.1463,0;5.2407,2.1638,0;6.5744,-1.6863,0;7.9081,.6237,0;6.5744,-.1463,0;7.9081,2.1638,0;5.2407,.6237,0;
</t>
  </si>
  <si>
    <t xml:space="preserve">C00188</t>
  </si>
  <si>
    <t xml:space="preserve">thymd[c]</t>
  </si>
  <si>
    <t xml:space="preserve">Thymidine</t>
  </si>
  <si>
    <t xml:space="preserve">C10H14N2O5</t>
  </si>
  <si>
    <t xml:space="preserve">InChI=1/C10H14N2O5/c1-5-3-12(10(16)11-9(5)15)8-2-6(14)7(4-13)17-8/h3,6-8,13-14H,2,4H2,1H3,(H,11,15,16)/t6-,7+,8+/s2
AuxInfo=1/1/N:17,10,13,12,15,8,11,9,16,14,7,6,3,2,5,4,1/rA:31OOOOONNC.eC.eCC.eCCCCCCHHHHHHHHHHHHHH/rB:;;;;;;s2;s1s6;s8s9;s1s8;s3s11;s6;d4s6s7;d-13;d5s7s15;s15;s8;s9;s10;s10;s11;s12;s12;s13;s2;s7;s3;s17;s17;s17;/rC:6.9933,-1.8715,0;4.0723,-4.5821,0;8.9542,-4.4212,0;3.08,.5736,0;5.7473,5.1936,0;5.7473,.5736,0;4.4137,2.8836,0;4.9773,-3.3363,0;5.7473,-.9664,0;4.5015,-1.8715,0;6.5173,-3.3363,0;7.4226,-4.5821,0;7.0812,1.3436,0;4.4137,1.3436,0;7.0812,2.8836,0;5.7473,3.6536,0;8.4147,3.6536,0;5.4109,-4.1869,0;6.5981,-.5329,0;4.024,-1.0448,0;3.6292,-2.26,0;7.4605,-3.187,0;6.5645,-5.0008,0;7.6856,-5.4999,0;7.9079,.8663,0;3.1227,-4.4824,0;3.5868,3.3611,0;9.5153,-5.1936,0;8.8922,2.8267,0;9.2417,4.1311,0;7.9374,4.4806,0;
</t>
  </si>
  <si>
    <t xml:space="preserve">C00214</t>
  </si>
  <si>
    <t xml:space="preserve">tmrs2eACP[c]</t>
  </si>
  <si>
    <t xml:space="preserve">2-trans-Tetradecenoyl-ACP</t>
  </si>
  <si>
    <t xml:space="preserve">C05760</t>
  </si>
  <si>
    <t xml:space="preserve">toct2eACP[c]</t>
  </si>
  <si>
    <t xml:space="preserve">2-trans-Octenoyl-ACP</t>
  </si>
  <si>
    <t xml:space="preserve">C19H33N2O8PRS</t>
  </si>
  <si>
    <t xml:space="preserve">C05751</t>
  </si>
  <si>
    <t xml:space="preserve">tpalm2eACP[c]</t>
  </si>
  <si>
    <t xml:space="preserve">2-trans-Hexadecenoyl-ACP</t>
  </si>
  <si>
    <t xml:space="preserve">C05763</t>
  </si>
  <si>
    <t xml:space="preserve">trdox[c]</t>
  </si>
  <si>
    <t xml:space="preserve">Thioredoxin_1</t>
  </si>
  <si>
    <t xml:space="preserve">C6H7NO2S2</t>
  </si>
  <si>
    <t xml:space="preserve">C00343</t>
  </si>
  <si>
    <t xml:space="preserve">trdrd[c]</t>
  </si>
  <si>
    <t xml:space="preserve">Thioredoxin_1_disulfide</t>
  </si>
  <si>
    <t xml:space="preserve">C6H9NO2S2</t>
  </si>
  <si>
    <t xml:space="preserve">C00342</t>
  </si>
  <si>
    <t xml:space="preserve">trp-L[c]</t>
  </si>
  <si>
    <t xml:space="preserve">L-Tryptophan</t>
  </si>
  <si>
    <t xml:space="preserve">C11H12N2O2</t>
  </si>
  <si>
    <t xml:space="preserve">InChI=1/C11H12N2O2/c12-9(11(14)15)5-7-6-13-10-4-2-1-3-8(7)10/h1-4,6,9,13H,5,12H2,(H,14,15)/t9-/s2
AuxInfo=1/1/N:14,15,11,12,6,10,5,7,8,9,13,4,3,1,2/E:(14,15)/rA:15O-ONN+CCCC.oCCCCCCC/rB:;;;;s5;s5;s4s6;s3s7;s3d+5;d+7;d+9;s1d2s8;s11;s12d-14;/rC:11.1754,3.0208,0;8.6401,3.8494,0;7.2048,-3.0208,0;10.2185,.093,0;7.2048,-.5421,0;7.683,.9218,0;5.7475,-1.0114,0;9.19,1.2393,0;5.7475,-2.5514,0;8.1036,-1.7814,0;4.4137,-.2414,0;4.4137,-3.3214,0;9.6684,2.7031,0;3.08,-1.0114,0;3.08,-2.5514,0;
</t>
  </si>
  <si>
    <t xml:space="preserve">C00078</t>
  </si>
  <si>
    <t xml:space="preserve">tsul[e]</t>
  </si>
  <si>
    <t xml:space="preserve">Thiosulfate</t>
  </si>
  <si>
    <t xml:space="preserve">O3S2</t>
  </si>
  <si>
    <t xml:space="preserve">InChI=1S/H2O3S2/c1-5(2,3)4/h(H2,1,2,3,4)/p-1
AuxInfo=1/1/N:3,4,5,2,1/E:(1,2,3)/CRV:5.6/rA:5SSOO-O/rB:d1;s1;s1;d1;/rC:4.4137,0,0;3.6437,1.3337,0;5.7475,.77,0;3.08,-.77,0;5.1837,-1.3337,0;
</t>
  </si>
  <si>
    <t xml:space="preserve">C00320</t>
  </si>
  <si>
    <t xml:space="preserve">tsul[p]</t>
  </si>
  <si>
    <t xml:space="preserve">ttc-ggdp[c]</t>
  </si>
  <si>
    <t xml:space="preserve">trans,trans,cis-Geranylgeranyl_diphosphate</t>
  </si>
  <si>
    <t xml:space="preserve">C20H33O7P2</t>
  </si>
  <si>
    <t xml:space="preserve">InChI=1S/C20H36O7P2/c1-17(2)9-6-10-18(3)11-7-12-19(4)13-8-14-20(5)15-16-26-29(24,25)27-28(21,22)23/h9,11,13,15H,6-8,10,12,14,16H2,1-5H3,(H,24,25)(H2,21,22,23)/p-2/b18-11+,19-13+,20-15-
AuxInfo=1/1/N:28,29,22,21,25,19,11,13,23,15,17,10,18,16,24,27,26,14,12,20,7,8,9,5,6,3,4,2,1/E:(1,2)(21,22,23)(24,25)/rA:63PPOOO-OO-OOCCCCCCCCCCCCCCCCCCCCHHHHHHHHHHHHHHHHHHHHHHHHHHHHHHHHHH/rB:;s1;s1s2;s1;d1;s2;s2;d2;;s10;s10;;;s14;s13;s11d+14;d+12s13;s15;s16;s12;s14;s19;d-20;s20;d+23;s3s24;s26;s26;s10;s10;s11;s11;s13;s13;s15;s15;s16;s16;s17;s18;s19;s19;s21;s21;s21;s22;s22;s22;s23;s24;s25;s25;s25;s27;s27;s29;s29;s29;s28;s28;s28;s8;/rC:17.7509,-6.8378,0;20.4182,-6.8378,0;16.4171,-7.6078,0;19.0846,-6.0678,0;16.9809,-5.5041,0;18.5209,-8.1713,0;21.7521,-7.6078,0;21.1882,-5.5041,0;19.6482,-8.1713,0;9.7485,-.6776,0;8.4149,.0924,0;9.7485,-2.2176,0;11.0824,-4.5278,0;7.0812,2.4024,0;7.0812,3.9424,0;12.4161,-5.2978,0;8.4149,1.6324,0;11.0824,-2.9876,0;5.7475,4.7126,0;12.4161,-6.8378,0;8.4149,-2.9876,0;5.7475,1.6324,0;5.7475,6.2526,0;13.7497,-7.6078,0;11.0824,-7.6078,0;4.4137,7.0226,0;15.0834,-6.8378,0;4.4137,8.5626,0;3.08,6.2526,0;10.6889,-.8435,0;10.0751,.2195,0;7.4745,.2583,0;8.0883,-.8049,0;10.142,-4.3618,0;10.7557,-5.4249,0;8.0216,3.7766,0;7.4077,4.8397,0;13.3564,-5.4635,0;12.7426,-4.4005,0;9.2417,2.1099,0;11.9091,-2.5103,0;4.8072,4.8783,0;5.421,3.8153,0;7.9374,-2.1609,0;7.588,-3.4651,0;8.8922,-3.8145,0;5.27,2.4593,0;4.9205,1.1551,0;6.2248,.8057,0;6.5744,6.7299,0;13.7497,-8.5626,0;10.6049,-6.7809,0;10.2555,-8.0851,0;11.5599,-8.4345,0;15.6972,-6.1062,0;14.4697,-6.1062,0;2.6027,7.0793,0;2.2533,5.7751,0;3.5575,5.4257,0;5.3685,8.5626,0;4.4137,9.5174,0;3.4589,8.5626,0;20.7109,-4.6771,0;
</t>
  </si>
  <si>
    <t xml:space="preserve">C11356</t>
  </si>
  <si>
    <t xml:space="preserve">ttton[e]</t>
  </si>
  <si>
    <t xml:space="preserve">Tetrathionate</t>
  </si>
  <si>
    <t xml:space="preserve">O6S4</t>
  </si>
  <si>
    <t xml:space="preserve">InChI=1S/H2O6S4/c1-9(2,3)7-8-10(4,5)6/h(H,1,2,3)(H,4,5,6)/p-2
AuxInfo=1/1/N:5,7,8,6,9,10,3,4,1,2/E:(1,2,3,4,5,6)(7,8)(9,10)/gE:(1,2)/CRV:9.6,10.6/rA:10SSSSO-O-OOOO/rB:;s1;s2s3;s1;s2;d1;d1;d2;d2;/rC:4.4137,-.3851,0;8.4149,.3851,0;5.7475,.3851,0;7.0812,-.3851,0;3.08,-1.1551,0;9.7485,1.1551,0;3.6437,.9486,0;5.1837,-1.7186,0;9.1849,-.9486,0;7.6449,1.7186,0;
</t>
  </si>
  <si>
    <t xml:space="preserve">C02084</t>
  </si>
  <si>
    <t xml:space="preserve">ttton[p]</t>
  </si>
  <si>
    <t xml:space="preserve">tyr-L[c]</t>
  </si>
  <si>
    <t xml:space="preserve">L-Tyrosine</t>
  </si>
  <si>
    <t xml:space="preserve">C9H11NO3</t>
  </si>
  <si>
    <t xml:space="preserve">InChI=1/C9H11NO3/c10-8(9(12)13)5-6-1-3-7(11)4-2-6/h1-4,8,11H,5,10H2,(H,12,13)/t8-/s2
AuxInfo=1/1/N:8,9,11,12,5,7,13,6,10,4,2,1,3/E:(1,2)(3,4)(12,13)/rA:13O-OON+CC.oCCCCCCC/rB:;;;;s4s5;s5;d+7;s7;s1d3s6;s8;d-9;s2d+11s12;/rC:7.0812,4.3814,0;4.4137,-4.8587,0;4.4137,4.3814,0;7.0812,1.3013,0;4.4137,1.3013,0;5.7475,2.0713,0;4.4137,-.2387,0;3.08,-1.0087,0;5.7475,-1.0087,0;5.7475,3.6114,0;3.08,-2.5487,0;5.7475,-2.5487,0;4.4137,-3.3187,0;
</t>
  </si>
  <si>
    <t xml:space="preserve">C00082</t>
  </si>
  <si>
    <t xml:space="preserve">u3aga[c]</t>
  </si>
  <si>
    <t xml:space="preserve">UDP-2-Acetamido-3-O-[3-hydroxytetradecanoyl]-2,3-dideoxy-D-glucopyranose</t>
  </si>
  <si>
    <t xml:space="preserve">C31H52N4O18P2</t>
  </si>
  <si>
    <t xml:space="preserve">InChI=1/C31H53N3O19P2/c1-3-4-5-6-7-8-9-10-11-12-19(37)15-23(39)51-28-24(32-18(2)36)30(50-20(16-35)26(28)41)52-55(46,47)53-54(44,45)48-17-21-25(40)27(42)29(49-21)34-14-13-22(38)33-31(34)43/h13-14,19-21,24-30,35,37,40-42H,3-12,15-17H2,1-2H3,(H,32,36)(H,44,45)(H,46,47)(H,33,38,43)/p-2/t19?,20-,21-,24-,25-,26-,27-,28-,29-,30-/s2
AuxInfo=1/1/N:55,46,54,53,52,50,49,47,45,44,43,40,48,42,38,34,35,37,39,28,32,51,36,26,30,27,31,25,33,29,41,22,24,23,11,17,15,21,14,8,7,9,19,18,20,13,16,10,4,3,5,6,12,2,1/E:(44,45)(46,47)/rA:106PPOOOOOOOOOOO-OOOOO-OOONNNC.oC.oC.eC.eC.oC.eC.oC.eC.eCCCCCCCCCCCCCCCCCCCCCCHHHHHHHHHHHHHHHHHHHHHHHHHHHHHHHHHHHHHHHHHHHHHHHHHHH/rB:;;;;s1;;;;s2;;s1s2;s1;;;d1;;s2;;d2;;;;;s5;s22s25;s7s25;s3s27;s3s6s26;s8;s9s30;s4s30;s4s23s31;s11s28;s10s32;s5d14;d17s22;s36;s15s38;s39;d19s23s24;s23;s40;s43;s44;s37;s45;d-42;s47;s49;d21s24s48;s50;s52;s53;s54;s25;s26;s27;s28;s29;s30;s31;s32;s33;s34;s34;s22;s35;s35;s7;s38;s38;s8;s9;s39;s40;s40;s42;s11;s43;s43;s44;s44;s45;s45;s46;s46;s46;s47;s47;s24;s48;s49;s49;s50;s50;s15;s52;s52;s53;s53;s54;s54;s55;s55;s55;/rC:28.4206,.3868,0;31.0878,.3868,0;25.7531,-1.1532,0;36.4959,.5305,0;21.7521,1.157,0;27.0868,1.157,0;21.7521,-1.9232,0;34.1057,3.719,0;37.3828,4.4156,0;32.4218,1.157,0;25.7531,-4.2332,0;29.7543,-.3832,0;29.1906,1.7205,0;20.4182,-1.1532,0;17.7509,-1.1532,0;27.6506,-.9468,0;27.0868,2.697,0;31.8578,-.9468,0;38.7793,-1.1389,0;30.3178,1.7205,0;43.6529,1.031,0;24.4194,2.697,0;39.0579,1.5141,0;41.216,-.0539,0;23.0858,.3868,0;24.4194,1.157,0;23.0858,-1.1532,0;24.4194,-1.9232,0;25.7531,.3868,0;35.2499,2.6884,0;36.7565,3.0087,0;35.089,1.157,0;37.5265,1.675,0;24.4194,-3.4632,0;33.7553,.3868,0;20.4182,.3868,0;25.7531,3.467,0;19.0846,1.157,0;17.7509,.3868,0;16.4171,1.157,0;39.6844,.107,0;39.9633,2.7599,0;15.0834,.3868,0;13.7497,1.157,0;12.4161,.3868,0;25.7531,5.007,0;11.0824,1.157,0;41.4949,2.599,0;9.7485,.3868,0;8.4149,1.157,0;42.1213,1.1921,0;7.0812,.3868,0;5.7475,1.157,0;4.4137,.3868,0;3.08,1.157,0;23.0858,1.3418,0;25.2463,1.6343,0;23.0858,-2.108,0;25.2463,-2.4005,0;25.7531,1.3418,0;34.3586,2.3464,0;37.7098,3.0587,0;35.1391,.2035,0;37.8687,.7836,0;23.4791,-3.2973,0;24.0929,-4.3605,0;23.5926,3.1743,0;33.1417,-.3446,0;34.3691,-.3446,0;21.7521,-2.878,0;19.6982,1.8883,0;18.4709,1.8883,0;34.3041,4.6529,0;36.8217,5.188,0;18.5778,-.0905,0;17.0309,1.8883,0;15.8034,1.8883,0;39.5748,3.6322,0;25.7531,-5.188,0;14.4697,-.3446,0;15.6972,-.3446,0;14.3634,1.8883,0;13.1361,1.8883,0;11.8022,-.3446,0;13.0297,-.3446,0;26.7079,5.007,0;25.7531,5.9618,0;24.7983,5.007,0;11.6962,1.8883,0;10.4685,1.8883,0;41.6043,-.9262,0;42.056,3.3714,0;9.1349,-.3446,0;10.3624,-.3446,0;9.0287,1.8883,0;7.8012,1.8883,0;16.9239,-1.6305,0;6.4674,-.3446,0;7.695,-.3446,0;6.3612,1.8883,0;5.1337,1.8883,0;3.8,-.3446,0;5.0277,-.3446,0;3.5575,1.9837,0;2.2533,1.6343,0;2.6027,.33,0;
</t>
  </si>
  <si>
    <t xml:space="preserve">C04738</t>
  </si>
  <si>
    <t xml:space="preserve">u3agn[c]</t>
  </si>
  <si>
    <t xml:space="preserve">UDP-2-Acetamido-3-amino-2,3-dideoxy-D-glucopyranose</t>
  </si>
  <si>
    <t xml:space="preserve">C17H27N4O16P2</t>
  </si>
  <si>
    <t xml:space="preserve">uaccg[c]</t>
  </si>
  <si>
    <t xml:space="preserve">UDP-N-acetyl-3-(1-carboxyvinyl)-D-glucosamine</t>
  </si>
  <si>
    <t xml:space="preserve">C20H26N3O19P2</t>
  </si>
  <si>
    <t xml:space="preserve">InChI=1/C20H29N3O19P2/c1-7(18(30)31)38-16-12(21-8(2)25)19(40-9(5-24)14(16)28)41-44(35,36)42-43(33,34)37-6-10-13(27)15(29)17(39-10)23-4-3-11(26)22-20(23)32/h3-4,9-10,12-17,19,24,27-29H,1,5-6H2,2H3,(H,21,25)(H,30,31)(H,33,34)(H,35,36)(H,22,26,32)/p-3/t9-,10-,12-,13-,14-,15-,16-,17-,19-/s2
AuxInfo=1/1/N:44,41,40,38,35,34,39,36,28,32,42,26,30,27,31,25,33,43,29,37,22,24,23,11,15,19,8,7,9,20,21,17,16,18,13,14,10,5,4,3,6,12,2,1/E:(30,31)(33,34)(35,36)/rA:70PPOOOOOOOOOOO-OOO-OOOO-ONNNC.oC.oC.eC.eC.oC.eC.oC.eC.eCCCCCCCCCCCHHHHHHHHHHHHHHHHHHHHHHHHHH/rB:;;;;s1;;;;s2;;s1s2;s1;d1;;s2;;d2;;;;;;;s5;s22s25;s7s25;s3s27;s3s6s26;s8;s9s30;s4s30;s4s23s31;s10s32;s11s28;d15s22;d17s23s24;s23;s5;d-38;s36;d19s24s40;s20d21s39;d+39;s25;s26;s27;s28;s29;s30;s31;s32;s33;s34;s34;s35;s35;s22;s7;s8;s9;s38;s11;s24;s40;s41;s41;s41;s44;s44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29.809,1.031,0;3.9069,.3868,0;5.2407,2.697,0;10.5756,2.697,0;25.2142,1.5141,0;27.3721,-.0539,0;9.2417,.3868,0;10.5756,1.157,0;9.2417,-1.1532,0;10.5756,-1.9232,0;11.9091,.3868,0;21.4062,2.6884,0;22.9124,3.0087,0;21.2453,1.157,0;23.6824,1.675,0;19.9114,.3868,0;10.5756,-3.4632,0;11.9091,3.467,0;25.8405,.107,0;26.1193,2.7599,0;6.5744,.3868,0;27.6509,2.599,0;11.9091,5.007,0;28.2774,1.1921,0;5.2407,1.157,0;6.5744,-1.1532,0;8.4149,-.0905,0;9.7485,1.6343,0;8.4149,-.6757,0;11.4023,-2.4005,0;11.9091,1.3418,0;21.6533,3.6107,0;23.8661,3.0587,0;21.2951,.2035,0;24.2026,2.4758,0;19.2978,-.3446,0;20.5253,-.3446,0;9.6352,-3.2973,0;10.2489,-4.3605,0;9.7485,3.1743,0;7.9081,-2.878,0;20.4603,4.6529,0;22.9777,5.188,0;25.7311,3.6322,0;11.9091,-5.188,0;27.7605,-.9262,0;28.2122,3.3714,0;12.8641,5.007,0;11.9091,5.9618,0;10.9543,5.007,0;5.7475,-1.6305,0;7.4013,-1.6305,0;
</t>
  </si>
  <si>
    <t xml:space="preserve">C04631</t>
  </si>
  <si>
    <t xml:space="preserve">uacgam[c]</t>
  </si>
  <si>
    <t xml:space="preserve">UDP-N-Acetyl-D-Glucosamine</t>
  </si>
  <si>
    <t xml:space="preserve">C17H25N3O17P2</t>
  </si>
  <si>
    <t xml:space="preserve">InChI=1/C17H27N3O17P2/c1-6(22)18-10-13(26)11(24)7(4-21)35-16(10)36-39(31,32)37-38(29,30)33-5-8-12(25)14(27)15(34-8)20-3-2-9(23)19-17(20)28/h2-3,7-8,10-16,21,24-27H,4-5H2,1H3,(H,18,22)(H,29,30)(H,31,32)(H,19,23,28)/p-2/t7-,8-,10-,11-,12-,13-,14-,15-,16-/s2
AuxInfo=1/1/N:38,37,35,33,32,36,30,28,39,23,26,25,24,27,29,31,34,21,22,20,11,17,19,8,7,6,9,15,16,18,13,14,10,3,4,5,12,2,1/E:(29,30)(31,32)/rA:64PPOOOOOOOOOOO-OOO-OOONNNC.oC.oC.eC.eC.oC.eC.eC.eC.oCCCCCCCCHHHHHHHHHHHHHHHHHHHHHHHHH/rB:;;;s1;;;;;s2;;s1s2;s1;d1;;s2;;d2;;;;;s21;s6s23;s7;s8s24;s9s25;s3s25;s3s20s27;s4s26;s4s5s23;s10s28;s11s30;d15s20s22;s20;d17s21;d-35;s36;d19s22s37;s23;s24;s25;s26;s27;s28;s29;s30;s31;s32;s32;s33;s33;s21;s6;s7;s8;s9;s35;s11;s22;s37;s38;s38;s38;/rC:14.2003,-1.3373,0;11.533,-1.3373,0;7.3707,.9643,0;16.8678,-2.8773,0;15.534,-.5673,0;20.8688,-.5673,0;5.8048,-2.6999,0;20.8688,-3.6473,0;3.5629,-.21,0;10.1991,-.5673,0;16.8678,-5.9573,0;12.8667,-2.1073,0;13.4303,-.0035,0;14.9703,-2.6708,0;7.675,3.7765,0;10.763,-2.6708,0;15.534,.9729,0;12.303,-.0035,0;3.3589,6.9121,0;5.2381,2.6915,0;18.2015,.9729,0;5.5169,5.3443,0;18.2015,-.5673,0;19.5352,-1.3373,0;6.1249,-1.1935,0;19.5352,-2.8773,0;5.0945,-.0491,0;7.5318,-.5673,0;5.8645,1.2845,0;18.2015,-3.6473,0;16.8678,-1.3373,0;8.8655,-1.3373,0;18.2015,-5.1873,0;6.1432,3.9374,0;3.7065,2.8525,0;16.8678,1.7429,0;3.08,4.2594,0;16.8678,3.2829,0;3.9853,5.5054,0;17.3746,-.0898,0;20.362,-1.8146,0;6.8671,-1.7944,0;19.5352,-3.8321,0;4.7522,-.9404,0;8.3326,-.047,0;4.9108,1.3347,0;17.3746,-4.1246,0;16.8678,-.3825,0;8.2518,-2.0686,0;9.4793,-2.0686,0;18.528,-6.0846,0;19.1419,-5.0215,0;19.0284,1.4502,0;21.6959,-1.0446,0;4.8966,-2.9951,0;20.8688,-4.6021,0;3.1745,-1.0823,0;3.1451,2.08,0;16.8678,-6.9121,0;6.0781,6.1167,0;2.1304,4.3592,0;17.8226,3.2829,0;16.8678,4.2377,0;15.9128,3.2829,0;
</t>
  </si>
  <si>
    <t xml:space="preserve">C00043</t>
  </si>
  <si>
    <t xml:space="preserve">uacgamo[c]</t>
  </si>
  <si>
    <t xml:space="preserve">UDP-2-Acetamido-2-deoxy-D-ribo-hexopyranos-3-ulose</t>
  </si>
  <si>
    <t xml:space="preserve">C17H23N3O17P2</t>
  </si>
  <si>
    <t xml:space="preserve">uagmda[c]</t>
  </si>
  <si>
    <t xml:space="preserve">Undecaprenyl-diphospho-N-acetylmuramoyl-L-alanyl-D-glutamyl-meso-2,6-diaminopimeloyl-D-alanyl-D-alanine</t>
  </si>
  <si>
    <t xml:space="preserve">C87H139N7O23P2</t>
  </si>
  <si>
    <t xml:space="preserve">InChI=1/C87H143N7O23P2/c1-56(2)29-18-30-57(3)31-19-32-58(4)33-20-34-59(5)35-21-36-60(6)37-22-38-61(7)39-23-40-62(8)41-24-42-63(9)43-25-44-64(10)45-26-46-65(11)47-27-48-66(12)53-54-113-118(109,110)117-119(111,112)116-87-77(92-71(17)96)79(78(98)75(55-95)115-87)114-70(16)82(101)89-68(14)81(100)94-74(86(107)108)51-52-76(97)93-73(50-28-49-72(88)85(105)106)83(102)90-67(13)80(99)91-69(15)84(103)104/h29,31,33,35,37,39,41,43,45,47,53,67-70,72-75,77-79,87,95,98H,18-28,30,32,34,36,38,40,42,44,46,48-52,54-55,88H2,1-17H3,(H,89,101)(H,90,102)(H,91,99)(H,92,96)(H,93,97)(H,94,100)(H,103,104)(H,105,106)(H,107,108)(H,109,110)(H,111,112)/p-4/b57-31+,58-33+,59-35-,60-37-,61-39-,62-41-,63-43-,64-45-,65-47-,66-53-/t67-,68+,69-,70-,72-,73+,74-,75-,77-,78-,79-,87-/s2
AuxInfo=1/1/N:118,119,115,112,109,108,106,102,87,79,71,58,69,45,76,41,43,114,107,100,94,91,89,84,80,72,60,59,116,113,110,103,105,97,101,93,98,90,96,85,88,83,81,78,74,68,64,56,62,57,48,50,52,49,38,117,111,104,99,95,92,86,82,75,66,54,65,44,73,39,40,63,55,47,36,53,34,35,33,70,46,42,61,77,67,51,37,31,27,30,32,26,29,28,7,10,19,5,23,16,12,20,24,25,21,22,17,18,14,15,9,11,13,4,3,6,8,2,1/E:(1,2)(103,104)(105,106)(107,108)(109,110)(111,112)/rA:257PPOOOOOOO-OOOOO-OOO-OOOO-OOO-ONNNNNN+NC.oC.oC.eC.eC.oCC.oCCCCC.eCCC.oCCCCCCCC.eCCCCCCCC.oCC.oCCCCCCCC.oCCCCCCCCCCCCCCCCCCCCCCCCCCCCCCCCCCCCCCCCCCCCCCHHHHHHHHHHHHHHHHHHHHHHHHHHHHHHHHHHHHHHHHHHHHHHHHHHHHHHHHHHHHHHHHHHHHHHHHHHHHHHHHHHHHHHHHHHHHHHHHHHHHHHHHHHHHHHHHHHHHHHHHHHHHHHHHHHHHHHHHHH/rB:;;;;s1;;s1s2;s1;;d1;;s2;s2;d2;;;;;;;;;;;;;;;;;;s4;s26s33;s5s33;s3s35;s3s6s34;s7s36;s4;d10s26;s39;d12s27s39;s40;s27;s44;d16s28s44;s28;s47;s13;s48;s17d18s47;s49;d19s29s50;d-52;s29;s54;s55;s54;s57;s56;d20s30s55;s59;s31s62;s60;s30;d-64;s21d22s63;s66;s65;d23s32s65;s66;s68;s32;s72;d-74;s73;s24d25s73;s75;s75;s78;s80;d-81;s82;s83;;s85;s82;s84d-86;s85;;s90;s90;;s93;s93;s89d-92;;s91d-95;s97;s97;s94d-99;s86;;s103;s100d+104;s92;s103;s95;s99;s107;d+110;s104;s111;s113;s111;s114;d+116;s117;s117;s33;s34;s35;s36;s37;s38;s38;s26;s39;s5;s41;s41;s41;s7;s43;s43;s43;s27;s44;s45;s45;s45;s28;s47;s48;s48;s49;s49;s50;s50;s52;s55;s29;s56;s56;s57;s57;s58;s58;s58;s59;s59;s60;s60;s62;s62;s63;s30;s64;s65;s31;s31;s68;s68;s69;s69;s69;s71;s71;s71;s72;s72;s32;s73;s74;s76;s76;s76;s78;s78;s79;s79;s79;s80;s80;s81;s83;s83;s84;s84;s85;s85;s87;s87;s87;s88;s89;s89;s90;s90;s91;s91;s93;s93;s94;s94;s96;s97;s97;s98;s100;s100;s101;s102;s102;s102;s103;s103;s105;s106;s106;s106;s107;s107;s108;s108;s108;s109;s109;s109;s110;s112;s112;s112;s113;s113;s114;s114;s115;s115;s115;s116;s119;s119;s118;s119;s118;s118;/rC:28.4206,7.7002,0;31.0878,7.7002,0;25.7531,6.1602,0;21.7521,8.4702,0;21.7521,5.3902,0;27.0868,8.4702,0;25.7531,3.08,0;29.7543,6.9302,0;29.1906,9.0339,0;27.0868,10.0102,0;27.6506,6.3665,0;19.0846,10.0102,0;32.4218,8.4702,0;31.8578,6.3665,0;30.3178,9.0339,0;15.0834,6.1602,0;9.7485,7.7002,0;11.0824,10.0102,0;12.4161,3.08,0;7.0812,1.54,0;13.7497,-5.3902,0;15.0834,-3.08,0;8.4149,-3.85,0;4.4137,-7.7002,0;3.08,-5.3902,0;24.4194,10.0102,0;17.7509,7.7002,0;13.7497,8.4702,0;9.7485,3.08,0;8.4149,-.77,0;11.0824,-3.85,0;5.7475,-3.85,0;23.0858,7.7002,0;24.4194,8.4702,0;23.0858,6.1602,0;24.4194,5.3902,0;25.7531,7.7002,0;24.4194,3.85,0;20.4182,7.7002,0;25.7531,10.7802,0;20.4182,6.1602,0;19.0846,8.4702,0;25.7531,12.3202,0;16.4171,8.4702,0;16.4171,10.0102,0;15.0834,7.7002,0;12.4161,7.7002,0;12.4161,6.1602,0;33.7553,7.7002,0;11.0824,5.3902,0;11.0824,8.4702,0;35.089,8.4702,0;11.0824,3.85,0;36.4228,7.7002,0;9.7485,1.54,0;36.4228,6.1602,0;11.0824,.77,0;37.7565,8.4702,0;11.0824,-.77,0;37.7565,5.3902,0;8.4149,.77,0;12.4161,-1.54,0;12.4161,-3.08,0;37.7565,3.85,0;7.0812,-1.54,0;39.0902,3.08,0;13.7497,-3.85,0;40.424,3.85,0;5.7475,-.77,0;7.0812,-3.08,0;39.0902,1.54,0;41.7575,3.08,0;5.7475,-5.3902,0;43.0914,3.85,0;44.425,3.08,0;7.0812,-6.1602,0;4.4137,-6.1602,0;44.425,1.54,0;45.7587,3.85,0;45.7587,.77,0;45.7587,-.77,0;47.0925,-1.54,0;48.4262,-.77,0;49.7599,-1.54,0;52.4272,-3.08,0;52.4272,-1.54,0;47.0925,-3.08,0;51.0935,-.77,0;53.7611,-3.85,0;56.4284,-5.3902,0;57.7621,-6.1602,0;55.0947,-6.1602,0;60.4296,-7.7002,0;61.7631,-8.4702,0;60.4296,-6.1602,0;53.7611,-5.3902,0;64.4306,-10.0102,0;59.0959,-5.3902,0;63.0969,-10.7802,0;65.7643,-10.7802,0;61.7631,-10.0102,0;53.7611,-.77,0;69.7655,-10.0102,0;68.4316,-10.7802,0;67.0981,-10.0102,0;55.0947,-7.7002,0;71.0993,-10.7802,0;61.7631,-5.3902,0;63.0969,-12.3202,0;72.4328,-10.0102,0;73.7666,-10.7802,0;68.4316,-12.3202,0;75.1003,-10.0102,0;76.434,-10.7802,0;73.7666,-12.3202,0;77.7678,-10.0102,0;79.1013,-10.7802,0;80.4352,-10.0102,0;79.1013,-12.3202,0;23.0858,8.655,0;25.2463,8.9477,0;23.0858,5.2054,0;25.2463,4.9127,0;25.7531,8.655,0;23.4791,4.0159,0;24.0929,2.9529,0;23.5926,10.4877,0;21.2453,7.2227,0;21.7521,4.4354,0;19.4634,6.1602,0;20.4182,5.2054,0;21.373,6.1602,0;25.7531,2.1252,0;26.7079,12.3202,0;25.7531,13.2752,0;24.7983,12.3202,0;17.7509,6.7454,0;17.2441,8.9477,0;17.3721,10.0102,0;16.4171,10.965,0;15.4623,10.0102,0;13.7497,9.425,0;12.4161,8.655,0;12.7426,5.2629,0;13.3564,6.3259,0;33.1417,6.9686,0;34.3691,6.9686,0;10.7557,6.2873,0;10.142,5.2242,0;35.089,9.425,0;10.5756,2.0175,0;8.9217,3.5575,0;35.4825,6.3259,0;36.0963,5.2629,0;12.0226,.6042,0;11.4089,1.6673,0;38.234,7.6433,0;38.5834,8.9477,0;37.2792,9.2971,0;10.142,-.6042,0;10.7557,-1.6673,0;38.6967,5.2242,0;38.083,6.2873,0;13.3564,-1.7059,0;12.7426,-.6429,0;12.4161,-4.0348,0;9.2417,-1.2475,0;36.9296,3.3727,0;7.0812,-.5852,0;11.0824,-4.805,0;10.2555,-3.3727,0;41.0375,4.5815,0;39.8102,4.5815,0;6.2248,.0567,0;4.9205,-.2927,0;5.27,-1.5969,0;38.1354,1.54,0;39.0902,.5852,0;40.045,1.54,0;41.1438,2.3486,0;42.3715,2.3486,0;4.9205,-3.3727,0;6.5744,-4.9127,0;43.0914,4.805,0;6.6039,-6.9869,0;7.9081,-6.6375,0;7.5587,-5.3333,0;43.4847,1.7059,0;44.0983,.6429,0;46.2362,3.0233,0;46.5857,4.3275,0;45.2812,4.6769,0;46.6991,.6042,0;46.0854,1.6673,0;44.9318,-1.2475,0;49.0399,-.0386,0;47.8124,-.0386,0;49.1462,-2.2715,0;50.3735,-2.2715,0;51.487,-2.9142,0;52.1007,-3.9773,0;46.1377,-3.08,0;47.0925,-4.0348,0;48.0473,-3.08,0;51.0935,.1848,0;54.7012,-4.0159,0;54.0876,-2.9529,0;57.0422,-4.6586,0;55.8146,-4.6586,0;57.1484,-6.8917,0;58.3759,-6.8917,0;59.4892,-7.5342,0;60.1029,-8.5973,0;62.7036,-8.6361,0;62.0898,-7.5729,0;52.934,-5.8675,0;65.0444,-9.2786,0;63.8169,-9.2786,0;59.0959,-4.4354,0;65.1506,-11.5117,0;66.3781,-11.5117,0;60.9364,-10.4877,0;54.2384,-1.5969,0;54.5879,-.2927,0;53.2836,.0567,0;70.3793,-9.2786,0;69.1516,-9.2786,0;67.0981,-9.0554,0;54.1399,-7.7002,0;55.0947,-8.655,0;56.0495,-7.7002,0;70.4855,-11.5117,0;71.7129,-11.5117,0;62.2406,-6.2169,0;62.5903,-4.9127,0;61.2858,-4.5633,0;62.1421,-12.3202,0;63.0969,-13.2752,0;64.0517,-12.3202,0;72.4328,-9.0554,0;67.4768,-12.3202,0;68.4316,-13.2752,0;69.3866,-12.3202,0;75.7141,-9.2786,0;74.4865,-9.2786,0;75.8203,-11.5117,0;77.0478,-11.5117,0;72.8118,-12.3202,0;73.7666,-13.2752,0;74.7214,-12.3202,0;77.7678,-9.0554,0;78.1467,-12.3202,0;79.1013,-13.2752,0;80.9125,-10.8371,0;80.0561,-12.3202,0;81.262,-9.5329,0;79.9577,-9.1834,0;
</t>
  </si>
  <si>
    <t xml:space="preserve">C05897</t>
  </si>
  <si>
    <t xml:space="preserve">uama[c]</t>
  </si>
  <si>
    <t xml:space="preserve">UDP-N-acetylmuramoyl-L-alanine</t>
  </si>
  <si>
    <t xml:space="preserve">C23H33N4O20P2</t>
  </si>
  <si>
    <t xml:space="preserve">InChI=1/C23H36N4O20P2/c1-8(21(35)36)24-19(34)9(2)43-18-14(25-10(3)29)22(45-11(6-28)16(18)32)46-49(40,41)47-48(38,39)42-7-12-15(31)17(33)20(44-12)27-5-4-13(30)26-23(27)37/h4-5,8-9,11-12,14-18,20,22,28,31-33H,6-7H2,1-3H3,(H,24,34)(H,25,29)(H,35,36)(H,38,39)(H,40,41)(H,26,30,37)/p-3/t8-,9+,11+,12+,14+,15+,16+,17+,18+,20+,22+/s2
AuxInfo=1/1/N:48,40,44,45,43,36,37,47,38,39,30,34,46,28,32,29,33,27,41,35,49,31,42,26,23,25,24,11,15,20,8,7,9,17,21,22,18,16,19,13,14,10,4,5,3,6,12,2,1/E:(35,36)(38,39)(40,41)/rA:82PPOOOOOOOOOOO-OOO-OOOOO-ONNNNC.oC.oC.eC.eC.oC.eC.oC.eC.eCCC.oCCCCCCCCC.eCCHHHHHHHHHHHHHHHHHHHHHHHHHHHHHHHHH/rB:;;;;s1;;;;s2;;s1s2;s1;d1;;s2;;;d2;;;;;;;;s4;s23s27;s7s27;s3s29;s3s6s28;s8;s9s32;s5s32;s5s24s33;s11s30;s10s34;s4;d15s23;s38;d17s26s38;d18s24s25;s24;s39;d-43;d20s25s45;s26;s47;s21d22s47;s27;s28;s29;s30;s31;s32;s33;s34;s35;s23;s36;s36;s37;s37;s38;s7;s8;s9;s40;s40;s40;s43;s11;s44;s44;s44;s25;s45;s26;s47;s48;s48;s48;/rC:18.5778,.3868,0;21.2453,.3868,0;15.9103,-1.1532,0;11.9091,1.157,0;26.6532,.5305,0;17.2441,1.157,0;11.9091,-1.9232,0;24.2627,3.719,0;27.5401,4.4156,0;22.5788,1.157,0;15.9103,-4.2332,0;19.9114,-.3832,0;19.3478,1.7205,0;17.8076,-.9468,0;17.2441,2.697,0;22.0153,-.9468,0;9.2417,2.697,0;28.9365,-1.1389,0;20.4753,1.7205,0;33.81,1.031,0;3.9069,1.157,0;5.2407,-1.1532,0;14.5766,2.697,0;29.2152,1.5141,0;31.3733,-.0539,0;7.9081,.3868,0;13.2429,.3868,0;14.5766,1.157,0;13.2429,-1.1532,0;14.5766,-1.9232,0;15.9103,.3868,0;25.4074,2.6884,0;26.9136,3.0087,0;25.2463,1.157,0;27.6836,1.675,0;14.5766,-3.4632,0;23.9126,.3868,0;10.5756,.3868,0;15.9103,3.467,0;10.5756,-1.1532,0;9.2417,1.157,0;29.8417,.107,0;30.1205,2.7599,0;15.9103,5.007,0;31.6519,2.599,0;32.2786,1.1921,0;6.5744,1.157,0;6.5744,2.697,0;5.2407,.3868,0;13.2429,1.3418,0;15.4035,1.6343,0;13.2429,-2.108,0;15.4035,-2.4005,0;15.9103,1.3418,0;25.6543,3.6107,0;27.8673,3.0587,0;25.2963,.2035,0;28.2037,2.4758,0;13.7497,3.1743,0;13.6364,-3.2973,0;14.2501,-4.3605,0;23.2988,-.3446,0;24.5263,-.3446,0;11.4023,-.0905,0;11.9091,-2.878,0;24.4614,4.6529,0;26.9787,5.188,0;9.6208,-1.1532,0;10.5756,-2.108,0;11.5304,-1.1532,0;29.7321,3.6322,0;15.9103,-5.188,0;16.8651,5.007,0;15.9103,5.9618,0;14.9555,5.007,0;31.7617,-.9262,0;32.2134,3.3714,0;7.9081,-.568,0;6.5744,.202,0;7.5292,2.697,0;6.5744,3.6518,0;5.6196,2.697,0;
</t>
  </si>
  <si>
    <t xml:space="preserve">C01212</t>
  </si>
  <si>
    <t xml:space="preserve">uamag[c]</t>
  </si>
  <si>
    <t xml:space="preserve">UDP-N-acetylmuramoyl-L-alanyl-D-glutamate</t>
  </si>
  <si>
    <t xml:space="preserve">C28H39N5O23P2</t>
  </si>
  <si>
    <t xml:space="preserve">InChI=1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p-4/t10-,11+,13+,14+,15+,18+,19+,20+,21+,22+,25+,27+/s2
AuxInfo=1/1/N:52,44,48,55,56,49,47,40,42,50,41,43,54,34,37,51,58,32,36,33,38,31,53,45,39,57,35,46,28,26,30,29,27,11,15,20,24,25,8,7,9,21,17,22,23,18,16,19,13,14,10,4,5,3,6,12,2,1/E:(37,38)(44,45)(47,48)(49,50)/rA:97PPOOOOOOOOOOO-OOO-OOOOOO-OO-ONNNNNC.oC.oC.eC.eC.oC.oC.eC.oC.eCC.oCCCCCCCCC.eCCCC.oCCCCHHHHHHHHHHHHHHHHHHHHHHHHHHHHHHHHHHHHHHH/rB:;;;;s1;;;;s2;;s1s2;s1;d1;;s2;;;d2;;;;;;;;;;;;s4;s26s31;s7s31;s3s33;s3s6s32;s8;s5s36;s9s36;s5s27s38;s11s34;s4;s10s37;d15s26;s41;d17s28s41;d18s27s29;s27;s43;d-47;s28;d20s29s49;s50;d21s30s50;s30;s54;s55;s22d23s54;s24d25s56;s31;s32;s33;s34;s35;s36;s37;s38;s39;s26;s40;s40;s41;s42;s42;s7;s8;s9;s44;s44;s44;s11;s47;s48;s48;s48;s28;s29;s49;s50;s52;s52;s52;s30;s54;s55;s55;s56;s56;/rC:22.5788,.3868,0;25.2463,.3868,0;19.9114,-1.1532,0;15.9103,1.157,0;30.6544,.5305,0;21.2453,1.157,0;15.9103,-1.9232,0;28.2639,3.719,0;31.5411,4.4156,0;26.58,1.157,0;19.9114,-4.2332,0;23.9126,-.3832,0;23.3488,1.7205,0;21.8088,-.9468,0;21.2453,2.697,0;26.0163,-.9468,0;13.2429,2.697,0;32.9377,-1.1389,0;24.4763,1.7205,0;37.8112,1.031,0;9.2417,-1.1532,0;3.9069,.3868,0;5.2407,2.697,0;3.9069,-4.2332,0;6.5744,-4.2332,0;18.5778,2.697,0;33.2164,1.5141,0;11.9091,.3868,0;35.3745,-.0539,0;7.9081,1.157,0;17.2441,.3868,0;18.5778,1.157,0;17.2441,-1.1532,0;18.5778,-1.9232,0;19.9114,.3868,0;29.4084,2.6884,0;29.2473,1.157,0;30.9148,3.0087,0;31.6848,1.675,0;18.5778,-3.4632,0;14.5766,.3868,0;27.9138,.3868,0;19.9114,3.467,0;14.5766,-1.1532,0;13.2429,1.157,0;33.8429,.107,0;34.1215,2.7599,0;19.9114,5.007,0;35.6531,2.599,0;10.5756,1.157,0;36.2796,1.1921,0;10.5756,2.697,0;9.2417,.3868,0;6.5744,.3868,0;6.5744,-1.1532,0;5.2407,-1.9232,0;5.2407,1.157,0;5.2407,-3.4632,0;16.4171,-.0905,0;19.4047,1.6343,0;16.4171,-.6757,0;19.4047,-2.4005,0;19.9114,1.3418,0;29.6555,3.6107,0;29.2975,.2035,0;31.8683,3.0587,0;32.2049,2.4758,0;17.7509,3.1743,0;17.6374,-3.2973,0;18.2513,-4.3605,0;15.4035,-.0905,0;27.3,-.3446,0;28.5275,-.3446,0;15.9103,-2.878,0;28.4624,4.6529,0;30.9799,5.188,0;13.6218,-1.1532,0;14.5766,-2.108,0;15.5314,-1.1532,0;19.9114,-5.188,0;33.7333,3.6322,0;20.8662,5.007,0;19.9114,5.9618,0;18.9566,5.007,0;11.9091,-.568,0;35.7629,-.9262,0;36.2143,3.3714,0;11.4023,1.6343,0;11.5304,2.697,0;10.5756,3.6518,0;9.6208,2.697,0;7.9081,2.1118,0;6.5744,1.3418,0;6.9009,-2.0503,0;7.5148,-.9873,0;4.9142,-1.0259,0;4.3004,-2.089,0;
</t>
  </si>
  <si>
    <t xml:space="preserve">C00692</t>
  </si>
  <si>
    <t xml:space="preserve">uamr[c]</t>
  </si>
  <si>
    <t xml:space="preserve">UDP-N-acetylmuramate</t>
  </si>
  <si>
    <t xml:space="preserve">C20H28N3O19P2</t>
  </si>
  <si>
    <t xml:space="preserve">InChI=1/C20H31N3O19P2/c1-7(18(30)31)38-16-12(21-8(2)25)19(40-9(5-24)14(16)28)41-44(35,36)42-43(33,34)37-6-10-13(27)15(29)17(39-10)23-4-3-11(26)22-20(23)32/h3-4,7,9-10,12-17,19,24,27-29H,5-6H2,1-2H3,(H,21,25)(H,30,31)(H,33,34)(H,35,36)(H,22,26,32)/p-3/t7-,9-,10-,12-,13-,14-,15-,16-,17-,19-/s2
AuxInfo=1/1/N:40,42,43,39,34,35,36,37,28,32,44,26,30,27,31,25,33,41,29,38,22,24,23,11,15,21,8,7,9,19,20,17,16,18,13,14,10,5,4,3,6,12,2,1/E:(30,31)(33,34)(35,36)/rA:72PPOOOOOOOOOOO-OOO-OOO-OONNNC.oC.oC.eC.eC.oC.eC.oC.eC.eCCC.oCCCCCCCCHHHHHHHHHHHHHHHHHHHHHHHHHHHH/rB:;;;;s1;;;;s2;;s1s2;s1;d1;;s2;;d2;;;;;;;s5;s22s25;s7s25;s3s27;s3s6s26;s8;s9s30;s4s30;s4s23s31;s11s28;s10s32;s5;d15s22;d17s23s24;s23;s36;s19d20s36;s37;d-39;d21s24s43;s25;s26;s27;s28;s29;s30;s31;s32;s33;s22;s34;s34;s35;s35;s7;s36;s8;s9;s39;s40;s40;s40;s11;s42;s42;s42;s24;s43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3.9069,.3868,0;5.2407,2.697,0;29.809,1.031,0;10.5756,2.697,0;25.2142,1.5141,0;27.3721,-.0539,0;9.2417,.3868,0;10.5756,1.157,0;9.2417,-1.1532,0;10.5756,-1.9232,0;11.9091,.3868,0;21.4062,2.6884,0;22.9124,3.0087,0;21.2453,1.157,0;23.6824,1.675,0;10.5756,-3.4632,0;19.9114,.3868,0;6.5744,.3868,0;11.9091,3.467,0;25.8405,.107,0;26.1193,2.7599,0;6.5744,-1.1532,0;5.2407,1.157,0;11.9091,5.007,0;27.6509,2.599,0;28.2774,1.1921,0;8.4149,-.0905,0;9.7485,1.6343,0;8.4149,-.6757,0;11.4023,-2.4005,0;11.9091,1.3418,0;21.6533,3.6107,0;23.8661,3.0587,0;21.2951,.2035,0;24.2026,2.4758,0;9.7485,3.1743,0;9.6352,-3.2973,0;10.2489,-4.3605,0;19.2978,-.3446,0;20.5253,-.3446,0;7.9081,-2.878,0;6.5744,1.3418,0;20.4603,4.6529,0;22.9777,5.188,0;25.7311,3.6322,0;5.6196,-1.1532,0;6.5744,-2.108,0;7.5292,-1.1532,0;11.9091,-5.188,0;12.8641,5.007,0;11.9091,5.9618,0;10.9543,5.007,0;27.7605,-.9262,0;28.2122,3.3714,0;
</t>
  </si>
  <si>
    <t xml:space="preserve">C01050</t>
  </si>
  <si>
    <t xml:space="preserve">udcpdp[c]</t>
  </si>
  <si>
    <t xml:space="preserve">Undecaprenyl_diphosphate</t>
  </si>
  <si>
    <t xml:space="preserve">C55H89O7P2</t>
  </si>
  <si>
    <t xml:space="preserve">udcpp[c]</t>
  </si>
  <si>
    <t xml:space="preserve">Undecaprenyl_phosphate</t>
  </si>
  <si>
    <t xml:space="preserve">C55H89O4P</t>
  </si>
  <si>
    <t xml:space="preserve">InChI=1S/C55H91O4P/c1-45(2)23-13-24-46(3)25-14-26-47(4)27-15-28-48(5)29-16-30-49(6)31-17-32-50(7)33-18-34-51(8)35-19-36-52(9)37-20-38-53(10)39-21-40-54(11)41-22-42-55(12)43-44-59-60(56,57)58/h23,25,27,29,31,33,35,37,39,41,43H,13-22,24,26,28,30,32,34,36,38,40,42,44H2,1-12H3,(H2,56,57,58)/p-2/b46-25+,47-27+,48-29+,49-31+,50-33+,51-35+,52-37+,53-39+,54-41+,55-43+
AuxInfo=1/1/N:59,60,53,48,41,39,37,38,40,44,50,55,51,34,21,13,11,10,12,19,29,45,54,47,42,30,33,15,27,8,24,6,23,7,25,9,28,17,35,31,46,49,56,58,57,43,32,22,18,14,16,20,26,36,52,3,4,5,2,1/E:(1,2)(56,57,58)/rA:149POO-O-OCCCCCCCCCCCCCCCCCCCCCCCCCCCCCCCCCCCCCCCCCCCCCCCCCCCCCCCHHHHHHHHHHHHHHHHHHHHHHHHHHHHHHHHHHHHHHHHHHHHHHHHHHHHHHHHHHHHHHHHHHHHHHHHHHHHHHHHHHHHHHHHH/rB:s1;s1;s1;d1;;;;;s7;s6;s9;s8;s6;;s7;;s8;s17;s9;s15;s15;s10d+14;s11d+18;s12d+16;s17;s13d+22;s19d+20;;;s29;s30;s21d+32;s30;d+26s29;s31;s14;s16;s18;s20;s22;s34;d+42;s26;;d+36s45;s43;s32;s45;s36;s47;s49;s43;s51;s52;d+52;d+54;s2s56;s57;s57;s6;s6;s7;s7;s8;s8;s9;s9;s10;s10;s11;s11;s12;s12;s13;s13;s15;s15;s17;s17;s19;s19;s21;s21;s23;s24;s25;s27;s28;s29;s29;s30;s30;s31;s31;s33;s34;s34;s35;s37;s37;s37;s38;s38;s38;s39;s39;s39;s40;s40;s40;s41;s41;s41;s42;s44;s44;s44;s45;s45;s46;s47;s47;s48;s48;s48;s49;s49;s50;s50;s50;s51;s51;s53;s53;s53;s54;s55;s55;s55;s56;s58;s58;s59;s59;s59;s60;s60;s60;/rC:5.2407,-.3102,0;6.5744,.4598,0;3.9069,-1.0804,0;4.4707,1.0233,0;6.0107,-1.644,0;38.5834,.4598,0;33.2485,.4598,0;43.9182,.4598,0;27.9138,.4598,0;34.5822,-.3102,0;39.917,-.3102,0;29.2473,-.3102,0;45.2519,-.3102,0;37.2497,-.3102,0;49.2531,.4598,0;31.915,-.3102,0;22.5788,.4598,0;42.5846,-.3102,0;23.9126,-.3102,0;26.58,-.3102,0;50.5867,-.3102,0;47.9194,-.3102,0;35.916,.4598,0;41.2507,.4598,0;30.581,.4598,0;21.2453,-.3102,0;46.5857,.4598,0;25.2463,.4598,0;18.5778,-.3102,0;54.5879,.4598,0;17.2441,.4598,0;53.2541,-.3102,0;51.9206,.4598,0;55.9216,-.3102,0;19.9114,.4598,0;15.9103,-.3102,0;37.2497,-1.8504,0;31.915,-1.8504,0;42.5846,-1.8504,0;26.58,-1.8504,0;47.9194,-1.8504,0;57.2553,.4598,0;58.5891,-.3102,0;21.2453,-1.8504,0;13.2429,-.3102,0;14.5766,.4598,0;59.9228,.4598,0;53.2541,-1.8504,0;11.9091,.4598,0;15.9103,-1.8504,0;61.2563,-.3102,0;10.5756,-.3102,0;58.5891,-1.8504,0;62.5903,.4598,0;10.5756,-1.8504,0;9.2417,.4598,0;63.9238,-.3102,0;7.9081,-.3102,0;65.2575,.4598,0;63.9238,-1.8504,0;39.197,1.1913,0;37.9697,1.1913,0;33.8623,1.1913,0;32.6349,1.1913,0;44.5319,1.1913,0;43.3046,1.1913,0;28.5275,1.1913,0;27.3,1.1913,0;33.9685,-1.0416,0;35.196,-1.0416,0;39.3034,-1.0416,0;40.5309,-1.0416,0;28.6337,-1.0416,0;29.8611,-1.0416,0;44.6382,-1.0416,0;45.8657,-1.0416,0;49.8667,1.1913,0;48.6394,1.1913,0;23.1926,1.1913,0;21.9653,1.1913,0;23.2988,-1.0416,0;24.5263,-1.0416,0;49.9731,-1.0416,0;51.2006,-1.0416,0;35.916,1.4146,0;41.2507,1.4146,0;30.581,1.4146,0;46.5857,1.4146,0;25.2463,1.4146,0;17.9641,-1.0416,0;19.1914,-1.0416,0;55.2016,1.1913,0;53.9741,1.1913,0;17.8578,1.1913,0;16.6303,1.1913,0;51.9206,1.4146,0;55.3078,-1.0416,0;56.5354,-1.0416,0;19.9114,1.4146,0;36.2949,-1.8504,0;37.2497,-2.8052,0;38.2045,-1.8504,0;30.9602,-1.8504,0;31.915,-2.8052,0;32.8698,-1.8504,0;41.6297,-1.8504,0;42.5846,-2.8052,0;43.5394,-1.8504,0;25.6252,-1.8504,0;26.58,-2.8052,0;27.5348,-1.8504,0;46.9646,-1.8504,0;47.9194,-2.8052,0;48.8742,-1.8504,0;57.2553,1.4146,0;20.2905,-1.8504,0;21.2453,-2.8052,0;22.2001,-1.8504,0;12.6291,-1.0416,0;13.8566,-1.0416,0;14.5766,1.4146,0;60.5364,1.1913,0;59.309,1.1913,0;52.2993,-1.8504,0;53.2541,-2.8052,0;54.2091,-1.8504,0;12.5229,1.1913,0;11.2956,1.1913,0;14.9555,-1.8504,0;15.9103,-2.8052,0;16.8651,-1.8504,0;60.6428,-1.0416,0;61.8703,-1.0416,0;57.6343,-1.8504,0;58.5891,-2.8052,0;59.5439,-1.8504,0;62.5903,1.4146,0;9.6208,-1.8504,0;10.5756,-2.8052,0;11.5304,-1.8504,0;9.2417,1.4146,0;7.2944,-1.0416,0;8.5217,-1.0416,0;65.735,-.3672,0;66.0845,.9371,0;64.7801,1.2867,0;62.969,-1.8504,0;63.9238,-2.8052,0;64.8786,-1.8504,0;
</t>
  </si>
  <si>
    <t xml:space="preserve">C00348</t>
  </si>
  <si>
    <t xml:space="preserve">udp[c]</t>
  </si>
  <si>
    <t xml:space="preserve">UDP</t>
  </si>
  <si>
    <t xml:space="preserve">C9H11N2O12P2</t>
  </si>
  <si>
    <t xml:space="preserve">InChI=1/C9H14N2O12P2/c12-5-1-2-11(9(15)10-5)8-7(14)6(13)4(22-8)3-21-25(19,20)23-24(16,17)18/h1-2,4,6-8,13-14H,3H2,(H,19,20)(H,10,12,15)(H2,16,17,18)/p-2/t4-,6-,7-,8-/s2
AuxInfo=1/1/N:24,23,21,19,25,17,18,20,22,16,15,11,4,5,7,12,13,14,9,10,6,3,8,2,1/E:(16,17,18)(19,20)/rA:25PPOOOOOOO-OOO-OONNC.oC.eC.oC.oCCCCC/rB:;;;;s1;;s1s2;s1;d1;;s2;s2;d2;;;s4;s5s17;s3s17;s3s15s18;s6s19;d7s15s16;s15;d-23;d11s16s24;/rC:10.6122,-3.8416,0;13.0489,-4.9265,0;7.7461,-.0461,0;4.825,-2.7567,0;3.7897,.4299,0;9.707,-2.5956,0;3.8328,2.3992,0;11.5175,-5.0874,0;11.8582,-2.9365,0;9.3664,-4.7467,0;6.5001,7.0194,0;14.5805,-4.7654,0;13.21,-6.4581,0;12.888,-3.3949,0;6.5001,2.3992,0;5.1666,4.7092,0;5.7301,-1.5107,0;5.2543,-.0461,0;7.2701,-1.5107,0;6.5001,.8592,0;8.1754,-2.7567,0;5.1666,3.1692,0;7.8338,3.1692,0;7.8338,4.7092,0;6.5001,5.4792,0;
</t>
  </si>
  <si>
    <t xml:space="preserve">C00015</t>
  </si>
  <si>
    <t xml:space="preserve">udpg[c]</t>
  </si>
  <si>
    <t xml:space="preserve">UDPglucose</t>
  </si>
  <si>
    <t xml:space="preserve">C15H22N2O17P2</t>
  </si>
  <si>
    <t xml:space="preserve">InChI=1/C15H24N2O17P2/c18-3-5-8(20)10(22)12(24)14(32-5)33-36(28,29)34-35(26,27)30-4-6-9(21)11(23)13(31-6)17-2-1-7(19)16-15(17)25/h1-2,5-6,8-14,18,20-24H,3-4H2,(H,26,27)(H,28,29)(H,16,19,25)/p-2/t5-,6-,8-,9-,10+,11-,12-,13-,14-/s2
AuxInfo=1/1/N:35,34,32,31,29,24,36,27,22,26,23,28,25,30,33,21,20,13,19,9,5,8,6,11,14,16,18,15,17,10,3,4,7,12,2,1/E:(26,27)(28,29)/rA:58PPOOOOOOOOOOOOO-O-OOONNC.eC.oC.eC.eC.eC.eC.oC.eC.oCCCCCCHHHHHHHHHHHHHHHHHHHHHH/rB:;;;;;s1;;;s2;;s1s2;;;s1;s2;d1;d2;;;;s5;s6s22;s3s22;s3s20s23;s8;s9s26;s11s26;s4s27;s4s7s28;s10s24;s13s29;d14s20s21;s20;d-34;d19s21s35;s22;s23;s24;s25;s26;s27;s28;s29;s30;s31;s31;s32;s32;s5;s6;s8;s9;s34;s11;s21;s35;s13;/rC:9.2417,-3.116,0;10.5756,-.8058,0;13.4038,3.8058,0;6.5744,-4.656,0;14.9701,.1413,0;17.212,2.6313,0;9.2417,-4.656,0;6.5744,-9.276,0;3.9069,-7.736,0;11.9091,-.0358,0;9.2417,-7.736,0;9.2417,-1.5758,0;3.9069,-3.116,0;17.9734,4.4479,0;10.7819,-3.116,0;9.8056,.5277,0;7.7017,-3.116,0;11.3456,-2.1396,0;17.4158,9.7535,0;15.5366,5.5328,0;17.6947,7.1008,0;14.65,1.6479,0;15.6804,2.7922,0;13.2429,2.2742,0;14.9104,4.1259,0;6.5744,-7.736,0;5.2407,-6.966,0;7.9081,-6.966,0;5.2407,-5.426,0;7.9081,-5.426,0;11.9091,1.5042,0;3.9069,-4.656,0;17.0682,5.6939,0;14.6313,6.7788,0;15.2579,8.1855,0;16.7894,8.3466,0;15.5721,1.4007,0;16.2004,3.593,0;12.4421,2.7942,0;14.3093,4.8681,0;7.4013,-8.2135,0;5.2407,-7.9208,0;7.9081,-7.9208,0;5.2407,-4.4712,0;7.9081,-4.4712,0;11.5827,2.4015,0;10.9689,1.3382,0;2.9667,-4.4901,0;3.5805,-5.5531,0;15.8781,-.1536,0;17.6002,1.759,0;5.7475,-9.7535,0;3.08,-7.2587,0;13.6817,6.6789,0;9.2417,-8.6908,0;18.6443,7.2007,0;14.6965,8.9581,0;3.08,-2.6385,0;
</t>
  </si>
  <si>
    <t xml:space="preserve">C00029</t>
  </si>
  <si>
    <t xml:space="preserve">udpglcur[c]</t>
  </si>
  <si>
    <t xml:space="preserve">UDPglucuronate</t>
  </si>
  <si>
    <t xml:space="preserve">C15H19N2O18P2</t>
  </si>
  <si>
    <t xml:space="preserve">InChI=1/C15H22N2O18P2/c18-5-1-2-17(15(26)16-5)12-9(22)6(19)4(32-12)3-31-36(27,28)35-37(29,30)34-14-10(23)7(20)8(21)11(33-14)13(24)25/h1-2,4,6-12,14,19-23H,3H2,(H,24,25)(H,27,28)(H,29,30)(H,16,18,26)/p-3/t4-,6-,7+,8+,9-,10-,11+,12-,14-/s2
AuxInfo=1/1/N:36,34,30,25,37,23,27,29,24,28,32,26,35,31,33,22,21,20,5,9,11,6,10,13,15,14,16,18,17,19,7,3,4,8,12,1,2/E:(24,25)(27,28)(29,30)/rA:37PPOOOOOOOOOOO-OOO-O-OOONNC.oC.eC.oC.oC.eC.eC.oCC.eC.oCCCCC/rB:;;;;;s1;s2;;;;s1s2;;;;s1;s2;d1;d2;;;;s5;s6s23;s3s23;s3s21s24;s9;s10s27;s11s27;s7s25;s4s8s28;s4s29;d14s21s22;s21;s13d15s32;d-34;d20s22s36;/rC:11.0824,-.8058,0;9.7485,-3.116,0;13.9106,3.8058,0;7.0812,-4.656,0;15.4769,.1413,0;17.7188,2.6313,0;12.4161,-.0358,0;9.7485,-4.656,0;7.0812,-9.276,0;9.7485,-7.736,0;4.4137,-7.736,0;9.7485,-1.5758,0;4.4137,-3.116,0;18.4802,4.4479,0;3.08,-5.426,0;10.3124,.5277,0;11.2887,-3.116,0;11.8524,-2.1396,0;8.2085,-3.116,0;17.9226,9.7535,0;16.0434,5.5328,0;18.2015,7.1008,0;15.1568,1.6479,0;16.1872,2.7922,0;13.7497,2.2742,0;15.4172,4.1259,0;7.0812,-7.736,0;8.4149,-6.966,0;5.7475,-6.966,0;12.4161,1.5042,0;8.4149,-5.426,0;5.7475,-5.426,0;17.575,5.6939,0;15.1383,6.7788,0;4.4137,-4.656,0;15.7647,8.1855,0;17.2963,8.3466,0;
</t>
  </si>
  <si>
    <t xml:space="preserve">C00167</t>
  </si>
  <si>
    <t xml:space="preserve">udpglucpy[c]</t>
  </si>
  <si>
    <t xml:space="preserve">UDP-2,3-bis[3-hydroxytetradecanoyl]-2,3-dideoxy-D-glucopyranose</t>
  </si>
  <si>
    <t xml:space="preserve">C43H76N4O19P2</t>
  </si>
  <si>
    <t xml:space="preserve">udpglucpypi[c]</t>
  </si>
  <si>
    <t xml:space="preserve">UDP-2-Amino-3-O-[3-hydroxytetradecanoyl]-2,3-dideoxy-D-glucopyranose</t>
  </si>
  <si>
    <t xml:space="preserve">C29H51N4O17P2</t>
  </si>
  <si>
    <t xml:space="preserve">udpxyl[c]</t>
  </si>
  <si>
    <t xml:space="preserve">UDP-D-xylose</t>
  </si>
  <si>
    <t xml:space="preserve">C14H20N2O16P2</t>
  </si>
  <si>
    <t xml:space="preserve">InChI=1S/C14H22N2O16P2/c17-5-3-28-13(11(22)8(5)19)31-34(26,27)32-33(24,25)29-4-6-9(20)10(21)12(30-6)16-2-1-7(18)15-14(16)23/h1-2,5-6,8-13,17,19-22H,3-4H2,(H,24,25)(H,26,27)(H,15,18,23)/p-2/t5-,6-,8+,9-,10-,11-,12-,13-/m1/s1
AuxInfo=1/1/N:1,2,3,4,5,6,7,8,9,10,11,12,13,14,15,16,17,18,19,20,21,22,23,24,25,26,27,28,29,30,31,32,33,34/E:(24,25)(26,27)/it:im/rA:34CCCCC.eC.eCC.oC.eC.eC.eC.eC.eCNNOOOOOOOO-OO-OOOOOOPP/rB:d-1;;;s3;s4;s1;s5;s6;s9;s8;s10;s11;;d-7s14;s2s12s14;s5;s7;s8;s9;s10;s11;d14;;;;;s3s13;s4;s6s12;s13;;s24d25s29s32;s26d27s31s32;/rC:-4.6213,7.1316,0;-3.7162,8.3774,0;8.0067,18.3628,0;.0431,12.9707,0;8.3268,19.8692,0;-1.4215,12.4949,0;-6.1529,7.2925,0;7.1824,20.8996,0;-2.6673,13.4001,0;-3.9133,12.4949,0;5.7178,20.4238,0;-3.4373,11.0301,0;5.3977,18.9174,0;-5.874,9.9452,0;-6.7794,8.6994,0;-4.3426,9.7843,0;9.7914,20.345,0;-7.0581,6.0467,0;7.5025,22.406,0;-2.6673,14.9401,0;-5.3779,12.9707,0;4.5733,21.4542,0;-6.5005,11.3521,0;1.352,16.4175,0;2.3038,13.4883,0;2.1063,17.2553,0;5.1191,16.615,0;6.5421,17.887,0;.3633,14.4771,0;-1.8973,11.0301,0;3.9329,18.4415,0;3.2926,15.4287,0;1.828,14.9529,0;3.6127,16.9351,0;
</t>
  </si>
  <si>
    <t xml:space="preserve">ugmd[c]</t>
  </si>
  <si>
    <t xml:space="preserve">UDP-N-acetylmuramoyl-L-alanyl-D-glutamyl-m-diaminopimelate</t>
  </si>
  <si>
    <t xml:space="preserve">C35H51N7O26P2</t>
  </si>
  <si>
    <t xml:space="preserve">InChI=1/C35H55N7O26P2/c1-13(28(50)40-18(33(56)57)7-8-21(45)39-17(32(54)55)6-4-5-16(36)31(52)53)37-29(51)14(2)64-27-23(38-15(3)44)34(66-19(11-43)25(27)48)67-70(61,62)68-69(59,60)63-12-20-24(47)26(49)30(65-20)42-10-9-22(46)41-35(42)58/h9-10,13-14,16-20,23-27,30,34,43,47-49H,4-8,11-12,36H2,1-3H3,(H,37,51)(H,38,44)(H,39,45)(H,40,50)(H,52,53)(H,54,55)(H,56,57)(H,59,60)(H,61,62)(H,41,46,58)/p-4/t13-,14-,16-,17+,18?,19-,20-,23-,24-,25-,26-,27-,30-,34-/s2
AuxInfo=1/1/N:57,49,53,64,65,62,60,61,54,52,45,47,55,46,48,68,63,59,39,42,67,56,37,41,38,43,36,58,50,44,70,69,66,40,51,35,31,29,34,33,32,30,10,14,24,20,8,7,9,21,16,27,28,25,26,22,23,19,17,18,13,15,11,4,6,3,5,12,2,1/E:(52,53)(54,55)(56,57)(59,60)(61,62)/rA:120PPOOOOOOOOOOO-OOOO-OOOOO-OOO-OO-ONNNNNNN+C.oC.oC.eC.eC.oC.oC.eC.oC.eCC.oCCCCCCCCC.oCCCCCCCC.eCCCCC.oCCHHHHHHHHHHHHHHHHHHHHHHHHHHHHHHHHHHHHHHHHHHHHHHHHHH/rB:;;;s1;;;;;;s2;s1s2;s1;;d1;;s2;d2;;;;;;;;;;;;;;;;;;s4;s29s36;s7s36;s3s38;s3s5s37;s8;s6s41;s9s41;s6s30s43;s10s39;s4;s11s42;d14s29;s46;d16s31s46;d19s30s32;s30;s48;d-52;s31;d20s32s54;s55;d21s33s55;s33;s59;s60;;s34s62;s62;s64;s22d23s59;d24s34s61;s35s65;s25d26s63;s27d28s68;s36;s37;s38;s39;s40;s41;s42;s43;s44;s29;s45;s45;s46;s7;s47;s47;s49;s49;s49;s8;s9;s10;s52;s53;s53;s53;s31;s32;s54;s55;s57;s57;s57;s33;s59;s60;s60;s61;s61;s62;s62;s63;s64;s64;s65;s65;s34;s68;s35;s35;/rC:24.4194,4.3833,0;27.0868,4.3833,0;21.7521,2.8431,0;17.7509,5.1533,0;23.0858,5.1533,0;32.4949,4.5269,0;17.7509,2.0731,0;30.1045,7.7155,0;33.3816,8.4119,0;21.7521,-.2369,0;28.4206,5.1533,0;25.7531,3.6133,0;25.1894,5.7169,0;23.0858,6.6933,0;23.6494,3.0496,0;15.0834,6.6933,0;27.8568,3.0496,0;26.3168,5.7169,0;34.7781,2.8575,0;39.6517,5.0275,0;11.0824,2.8431,0;5.7475,4.3833,0;7.0812,6.6933,0;8.4149,-.2369,0;4.4137,-4.0869,0;3.08,-1.7769,0;9.7485,-8.7071,0;11.0824,-6.3971,0;20.4182,6.6933,0;35.0569,5.5104,0;13.7497,4.3833,0;37.215,3.9424,0;9.7485,5.1533,0;5.7475,-.2369,0;7.0812,-7.1671,0;19.0846,4.3833,0;20.4182,5.1533,0;19.0846,2.8431,0;20.4182,2.0731,0;21.7521,4.3833,0;31.2489,6.6849,0;31.0878,5.1533,0;32.7553,7.005,0;33.5253,5.6713,0;20.4182,.5331,0;16.4171,4.3833,0;29.7543,4.3833,0;21.7521,7.4633,0;16.4171,2.8431,0;15.0834,5.1533,0;35.6834,4.1035,0;35.9621,6.7562,0;21.7521,9.0033,0;37.4937,6.5953,0;12.4161,5.1533,0;38.1201,5.1884,0;12.4161,6.6933,0;11.0824,4.3833,0;8.4149,4.3833,0;8.4149,2.8431,0;7.0812,2.0731,0;7.0812,-2.5469,0;5.7475,-1.7769,0;7.0812,-4.0869,0;8.4149,-4.8569,0;7.0812,5.1533,0;7.0812,.5331,0;8.4149,-6.3971,0;4.4137,-2.5469,0;9.7485,-7.1671,0;18.2577,3.9058,0;21.2453,5.6306,0;18.2577,3.3206,0;21.2453,1.5958,0;21.7521,5.3381,0;31.4961,7.6072,0;31.1379,4.1998,0;33.7088,7.0551,0;34.0454,6.4721,0;19.5914,7.1706,0;19.4779,.6991,0;20.0917,-.364,0;17.2441,3.9058,0;17.7509,1.1183,0;29.1405,3.6519,0;30.3679,3.6519,0;15.4623,2.8431,0;16.4171,1.8883,0;17.3721,2.8431,0;30.3029,8.6492,0;32.8205,9.1844,0;21.7521,-1.1917,0;35.5736,7.6285,0;22.7069,9.0033,0;21.7521,9.9581,0;20.7973,9.0033,0;13.7497,3.4285,0;37.6033,3.0703,0;38.055,7.3679,0;12.4161,4.1985,0;13.3709,6.6933,0;12.4161,7.6481,0;11.4613,6.6933,0;9.7485,6.1081,0;8.4149,5.3381,0;8.7416,1.946,0;9.3552,3.0091,0;6.7545,2.9704,0;6.141,1.9075,0;8.0216,-2.7126,0;7.4077,-1.6498,0;6.5744,-1.2996,0;6.141,-3.9211,0;6.7545,-4.9842,0;9.3552,-5.0226,0;8.7416,-3.9598,0;4.9205,.2406,0;8.4149,-7.3519,0;7.0812,-8.1219,0;6.2543,-6.6896,0;
</t>
  </si>
  <si>
    <t xml:space="preserve">C04877</t>
  </si>
  <si>
    <t xml:space="preserve">ugmda[c]</t>
  </si>
  <si>
    <t xml:space="preserve">UDP-N-acetylmuramoyl-L-alanyl-D-glutamyl-meso-2,6-diaminopimeloyl-D-alanyl-D-alanine</t>
  </si>
  <si>
    <t xml:space="preserve">C41H61N9O28P2</t>
  </si>
  <si>
    <t xml:space="preserve">InChI=1/C41H65N9O28P2/c1-15(32(58)45-17(3)37(62)63)44-35(61)21(8-6-7-20(42)38(64)65)47-25(53)10-9-22(39(66)67)48-33(59)16(2)43-34(60)18(4)74-31-27(46-19(5)52)40(76-23(13-51)29(31)56)77-80(71,72)78-79(69,70)73-14-24-28(55)30(57)36(75-24)50-12-11-26(54)49-41(50)68/h11-12,15-18,20-24,27-31,36,40,51,55-57H,6-10,13-14,42H2,1-5H3,(H,43,60)(H,44,61)(H,45,58)(H,46,52)(H,47,53)(H,48,59)(H,62,63)(H,64,65)(H,66,67)(H,69,70)(H,71,72)(H,49,54,68)/p-4/t15-,16-,17-,18-,20-,21-,22?,23-,24-,27-,28-,29-,30-,31-,36-,40-/s2
AuxInfo=1/1/N:76,61,79,53,57,68,69,66,64,67,59,56,45,51,74,58,78,50,52,73,65,63,43,47,71,60,41,46,42,48,40,77,62,54,72,49,80,75,70,44,55,38,33,37,39,31,36,35,34,32,8,14,23,20,9,6,10,28,21,16,25,29,30,26,27,22,24,19,17,18,13,15,11,4,7,3,5,12,2,1/E:(62,63)(64,65)(66,67)(69,70)(71,72)/rA:140PPOOOOOOOOOOO-OOOO-OOOOO-OOOO-OOO-ONNNNNNNN+NC.oC.oC.eC.eC.oCC.oC.eC.oC.eC.oCCCCCCCC.oCCCCCCC.oCCCCCCCC.oC.oCCCC.oCCHHHHHHHHHHHHHHHHHHHHHHHHHHHHHHHHHHHHHHHHHHHHHHHHHHHHHHHHHHHH/rB:;;;s1;;;;;;s2;s1s2;s1;;d1;;s2;d2;;;;;;;;;;;;;;;;;;;;;;s4;s31s40;s6s40;s3s42;s3s5s41;s8s43;s9;s7s46;s10s46;s7s32s48;s4;s11s47;d14s31;s50;d16s33s50;d19s32s34;s32;s52;s33;d-56;d20s34s59;s58;d21s35s58;s35;s63;s36;s65;s64;s66;s68;s22d24s63;d23s36s67;d25s37s65;s38s69;s37;s26d27s73;s74;d28s39s74;s39;s78;s29d30s78;s40;s41;s42;s43;s44;s31;s45;s45;s46;s47;s48;s49;s50;s6;s51;s51;s53;s53;s53;s9;s8;s10;s56;s57;s57;s57;s33;s58;s34;s59;s61;s61;s61;s35;s63;s64;s64;s65;s66;s66;s67;s67;s68;s68;s69;s69;s36;s73;s37;s74;s38;s38;s76;s76;s76;s39;s78;s79;s79;s79;/rC:28.4206,5.5382,0;31.0878,5.5382,0;25.7531,3.9982,0;21.7521,6.3082,0;27.0868,6.3082,0;21.7521,3.2282,0;36.4959,5.6819,0;25.7531,.9182,0;34.1057,8.8704,0;37.3828,9.567,0;32.4218,6.3082,0;29.7543,4.7682,0;29.1906,6.8719,0;27.0868,7.8484,0;27.6506,4.2047,0;19.0846,7.8484,0;31.8578,4.2047,0;30.3178,6.8719,0;38.7793,4.0126,0;43.6529,6.1824,0;15.0834,3.9982,0;9.7485,5.5382,0;12.4161,.9182,0;11.0824,7.8484,0;7.0812,-.6218,0;13.7497,-7.552,0;15.0834,-5.242,0;8.4149,-6.012,0;4.4137,-9.8622,0;3.08,-7.552,0;24.4194,7.8484,0;39.0579,6.6655,0;17.7509,5.5382,0;41.216,5.0975,0;13.7497,6.3082,0;9.7485,.9182,0;8.4149,-2.932,0;11.0824,-6.012,0;5.7475,-6.012,0;23.0858,5.5382,0;24.4194,6.3082,0;23.0858,3.9982,0;24.4194,3.2282,0;25.7531,5.5382,0;24.4194,1.6882,0;35.2499,7.8398,0;35.089,6.3082,0;36.7565,8.1599,0;37.5265,6.8264,0;20.4182,5.5382,0;33.7553,5.5382,0;25.7531,8.6184,0;20.4182,3.9982,0;19.0846,6.3082,0;39.6844,5.2586,0;39.9633,7.9113,0;25.7531,10.1584,0;16.4171,6.3082,0;41.4949,7.7504,0;42.1213,6.3433,0;16.4171,7.8484,0;15.0834,5.5382,0;12.4161,5.5382,0;12.4161,3.9982,0;9.7485,-.6218,0;11.0824,-1.392,0;11.0824,3.2282,0;11.0824,-2.932,0;12.4161,-3.702,0;11.0824,6.3082,0;11.0824,1.6882,0;8.4149,-1.392,0;12.4161,-5.242,0;7.0812,-3.702,0;13.7497,-6.012,0;5.7475,-2.932,0;7.0812,-5.242,0;5.7475,-7.552,0;7.0812,-8.322,0;4.4137,-8.322,0;23.0858,6.493,0;25.2463,6.7857,0;23.0858,3.0434,0;25.2463,2.7507,0;25.7531,6.493,0;23.5926,8.3257,0;23.4791,1.854,0;24.0929,.7909,0;34.3586,7.4978,0;35.1391,5.3549,0;37.7098,8.2102,0;37.8687,5.9351,0;21.2453,5.0609,0;21.7521,2.2734,0;33.1417,4.8069,0;34.3691,4.8069,0;19.4634,3.9982,0;20.4182,3.0434,0;21.373,3.9982,0;34.3041,9.8043,0;25.7531,-.0366,0;36.8217,10.3395,0;39.5748,8.7836,0;26.7079,10.1584,0;25.7531,11.1132,0;24.7983,10.1584,0;17.7509,4.5834,0;17.2441,6.7857,0;41.6043,4.2252,0;42.056,8.5228,0;17.3721,7.8484,0;16.4171,8.8032,0;15.4623,7.8484,0;13.7497,7.2632,0;12.4161,6.493,0;12.7426,3.1011,0;13.3564,4.1642,0;10.5756,-.1445,0;12.0226,-1.5575,0;11.4089,-.4947,0;10.7557,4.1255,0;10.142,3.0625,0;10.142,-2.766,0;10.7557,-3.8291,0;13.3564,-3.8677,0;12.7426,-2.8047,0;8.9217,1.3955,0;12.4161,-6.1968,0;9.2417,-3.4093,0;7.0812,-2.7472,0;11.0824,-6.9668,0;10.2555,-5.5347,0;6.2248,-2.1049,0;4.9205,-2.4545,0;5.27,-3.7587,0;4.9205,-5.5347,0;6.5744,-7.0747,0;6.6039,-9.1489,0;7.9081,-8.7995,0;7.5587,-7.495,0;
</t>
  </si>
  <si>
    <t xml:space="preserve">C04882</t>
  </si>
  <si>
    <t xml:space="preserve">ugmdal[c]</t>
  </si>
  <si>
    <t xml:space="preserve">Undecaprenyl-diphospho-N-acetylmuramoyl-L-ala-D-glu-meso-2,6-diaminopimeloyl-D-ala-D-ala</t>
  </si>
  <si>
    <t xml:space="preserve">C95H152N8O28P2</t>
  </si>
  <si>
    <t xml:space="preserve">ump[c]</t>
  </si>
  <si>
    <t xml:space="preserve">UMP</t>
  </si>
  <si>
    <t xml:space="preserve">C9H11N2O9P</t>
  </si>
  <si>
    <t xml:space="preserve">InChI=1/C9H13N2O9P/c12-5-1-2-11(9(15)10-5)8-7(14)6(13)4(20-8)3-19-21(16,17)18/h1-2,4,6-8,13-14H,3H2,(H,10,12,15)(H2,16,17,18)/p-2/t4-,6-,7-,8-/s2
AuxInfo=1/1/N:20,19,17,15,21,13,14,16,18,12,11,10,3,4,6,7,8,9,5,2,1/E:(16,17,18)/rA:32POOOOOO-O-OONNC.eC.oC.eC.eCCCCCHHHHHHHHHHH/rB:;;;s1;;s1;s1;d1;;;;s3;s4s13;s2s13;s2s11s14;s5s15;d6s11s12;s11;d-19;d10s12s20;s13;s14;s15;s16;s17;s17;s3;s4;s19;s12;s20;/rC:10.612,-4.8074,0;7.7459,-1.0119,0;4.8248,-3.7225,0;3.7897,-.5361,0;9.7069,-3.5614,0;3.8328,1.4332,0;11.5173,-6.0532,0;11.8578,-3.9023,0;9.3662,-5.7126,0;6.5001,6.0532,0;6.5001,1.4332,0;5.1664,3.7432,0;5.7301,-2.4767,0;5.2541,-1.0119,0;7.2701,-2.4767,0;6.5001,-.1068,0;8.1753,-3.7225,0;5.1664,2.2032,0;7.8337,2.2032,0;7.8337,3.7432,0;6.5001,4.5132,0;4.7871,-2.3272,0;4.5791,-1.6871,0;8.2131,-2.3272,0;5.6493,.3269,0;7.3171,-4.141,0;8.4385,-4.6403,0;5.2132,-4.5948,0;3.08,-1.1749,0;8.6608,1.7259,0;4.3396,4.2207,0;8.6608,4.2207,0;
</t>
  </si>
  <si>
    <t xml:space="preserve">C00105</t>
  </si>
  <si>
    <t xml:space="preserve">uppg3[c]</t>
  </si>
  <si>
    <t xml:space="preserve">Uroporphyrinogen_III</t>
  </si>
  <si>
    <t xml:space="preserve">C40H36N4O16</t>
  </si>
  <si>
    <t xml:space="preserve"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
AuxInfo=1/1/N:41,42,43,44,49,50,51,52,45,46,47,48,26,29,31,32,33,34,35,36,37,38,39,40,21,22,23,25,24,27,28,30,57,58,59,60,53,54,55,56,17,18,19,20,9,13,10,14,11,15,12,16,1,5,2,6,3,7,4,8/E:(45,46)(47,48)(49,50)(51,52)(53,54)(55,56)(57,58)(59,60)/rA:96O-O-O-O-OOOOO-O-O-O-OOOONNNNCCCCCCCCCCCCCCCCCCCCCCCCCCCCCCCCCCCCCCCCHHHHHHHHHHHHHHHHHHHHHHHHHHHHHHHHHHHH/rB:;;;;;;;;;;;;;;;;;;;s17;s18;s19;s17;s20;s21s22;s19;s18;s23s24;s20;s25s27;s28s30;d-21;d-22;d-23;d-25;d-24s33;d-27s35;d-28s34;d-30s36;s33;s34;s35;s36;s37;s38;s39;s40;s41;s42;s43;s44;s1d5s45;s2d6s46;s3d7s47;s4d8s48;s9d13s49;s10d14s50;s11d15s51;s12d16s52;s26;s26;s29;s29;s31;s31;s32;s32;s17;s18;s19;s20;s41;s41;s42;s42;s43;s43;s44;s44;s45;s45;s46;s46;s47;s47;s48;s48;s49;s49;s50;s50;s51;s51;s52;s52;/rC:16.6137,6.9315,0;21.1445,-1.9979,0;3.9069,-1.5669,0;10.2235,-8.3009,0;16.3746,4.2749,0;20.1029,.4577,0;5.2405,.7433,0;12.7624,-7.4822,0;11.175,9.8528,0;5.846,5.6655,0;19.3282,5.7176,0;13.949,-9.8528,0;9.0266,8.2716,0;4.231,3.5426,0;20.9436,3.5948,0;16.0972,-8.2716,0;12.5362,2.0834,0;10.2723,-.0258,0;14.9005,-.0258,0;12.5877,-2.1347,0;11.3012,3.0606,0;9.3983,1.1577,0;15.7745,1.2092,0;13.8227,3.1121,0;13.8227,-3.0606,0;9.8108,2.6479,0;15.8262,-1.1577,0;9.3983,-1.2092,0;15.313,2.6479,0;11.3527,-3.1121,0;15.3645,-2.6479,0;9.8623,-2.6479,0;11.7652,4.5507,0;7.9081,.745,0;17.2674,.7967,0;13.3586,-4.5507,0;13.3071,4.5507,0;17.2674,-.745,0;7.9081,-.7967,0;11.8167,-4.5507,0;10.8524,5.7911,0;6.6823,1.6776,0;18.4929,1.7295,0;14.2714,-5.7911,0;14.1936,5.81,0;18.4972,-1.6722,0;6.5744,-1.5667,0;10.7839,-5.693,0;11.4701,7.2018,0;6.8772,3.2053,0;18.2976,3.257,0;13.6537,-7.2018,0;15.7272,5.6721,0;19.9147,-1.0707,0;5.2407,-.7969,0;11.2567,-7.1587,0;10.5571,8.4422,0;5.6515,4.1378,0;19.5231,4.1897,0;14.5667,-8.4422,0;9.725,3.5989,0;8.8599,2.7337,0;16.2624,2.7492,0;15.4063,3.5982,0;15.4353,-3.6001,0;16.3132,-2.7558,0;8.9131,-2.7503,0;9.7696,-3.5982,0;12.5386,1.1286,0;11.2271,-.0258,0;13.9462,-.059,0;12.5752,-1.1801,0;10.0574,6.3202,0;10.1933,5.1001,0;5.7706,1.9609,0;6.2449,.8288,0;18.9304,.8807,0;19.4046,2.013,0;15.0662,-6.3202,0;14.9305,-5.1001,0;14.4428,6.7318,0;13.3291,6.2156,0;17.7987,-2.3233,0;19.0169,-2.4731,0;5.9606,-2.2982,0;7.1882,-2.2982,0;10.1976,-4.9394,0;9.9398,-6.1395,0;12.2649,6.6726,0;12.129,7.8926,0;7.7889,2.9219,0;7.3145,4.054,0;17.8603,4.1057,0;17.3859,2.9734,0;12.8589,-6.6726,0;12.9948,-7.8926,0;
</t>
  </si>
  <si>
    <t xml:space="preserve">C01051</t>
  </si>
  <si>
    <t xml:space="preserve">ura[c]</t>
  </si>
  <si>
    <t xml:space="preserve">Uracil</t>
  </si>
  <si>
    <t xml:space="preserve">C4H4N2O2</t>
  </si>
  <si>
    <t xml:space="preserve">InChI=1S/C4H4N2O2/c7-3-1-2-5-4(8)6-3/h1-2H,(H2,5,6,7,8)
AuxInfo=1/1/N:8,7,6,5,4,3,2,1/rA:12OONNCCCCHHHH/rB:;;;d1s3s4;d2s3;s4;s6d-7;s3;s4;s8;s7;/rC:3.08,-1.0625,0;8.4147,-1.0625,0;5.7473,-1.0625,0;4.4135,1.2475,0;4.4135,-.2927,0;7.081,-.2927,0;5.7473,2.0175,0;7.081,1.2475,0;5.7473,-2.0175,0;3.5868,1.7248,0;7.9079,1.7248,0;5.7473,2.9721,0;
</t>
  </si>
  <si>
    <t xml:space="preserve">C00106</t>
  </si>
  <si>
    <t xml:space="preserve">urate[c]</t>
  </si>
  <si>
    <t xml:space="preserve">Urate</t>
  </si>
  <si>
    <t xml:space="preserve">C5H4N4O3</t>
  </si>
  <si>
    <t xml:space="preserve">InChI=1S/C5H4N4O3/c10-3-1-2(7-4(11)6-1)8-5(12)9-3/h(H4,6,7,8,9,10,11,12)
AuxInfo=1/1/N:9,8,10,11,12,5,4,6,7,1,2,3/rA:16OOONNNNCCCCCHHHH/rB:;;;;;;s4s6;s5d-8;d1s7s9;d2s4s5;d3s6s7;s4;s5;s6;s7;/rC:5.7473,-2.7875,0;10.9769,.2927,0;3.08,1.8327,0;8.5381,1.5318,0;8.5381,-.9466,0;5.7473,1.8327,0;4.4135,-.4775,0;7.081,1.0625,0;7.081,-.4775,0;5.7473,-1.2475,0;9.4369,.2927,0;4.4135,1.0625,0;8.8347,2.4394,0;8.8347,-1.8542,0;5.7473,2.7875,0;3.5868,-.9548,0;
</t>
  </si>
  <si>
    <t xml:space="preserve">C00366</t>
  </si>
  <si>
    <t xml:space="preserve">uri[c]</t>
  </si>
  <si>
    <t xml:space="preserve">Uridine</t>
  </si>
  <si>
    <t xml:space="preserve">C9H12N2O6</t>
  </si>
  <si>
    <t xml:space="preserve">InChI=1/C9H12N2O6/c12-3-4-6(14)7(15)8(17-4)11-2-1-5(13)10-9(11)16/h1-2,4,6-8,12,14-15H,3H2,(H,10,13,16)/t4-,6-,7-,8-/s2
AuxInfo=1/1/N:16,15,13,12,17,10,9,11,14,8,7,4,6,3,2,5,1/rA:29OOOOOONNC.oC.eC.eC.eCCCCCHHHHHHHHHHHH/rB:;;;;;;;s2;s3s9;s1s7s9;s1s10;s4s12;d5s7s8;s7;d-15;d6s8s16;s9;s10;s11;s12;s13;s13;s2;s3;s15;s4;s8;s16;/rC:7.7461,-1.7412,0;3.7897,-1.2652,0;4.825,-4.4518,0;9.707,-4.2909,0;3.8328,.7039,0;6.5001,5.3241,0;6.5001,.7039,0;5.1666,3.0139,0;5.2543,-1.7412,0;5.7301,-3.2058,0;6.5001,-.8361,0;7.2701,-3.2058,0;8.1754,-4.4518,0;5.1666,1.4739,0;7.8338,1.4739,0;7.8338,3.0139,0;6.5001,3.7841,0;4.5791,-2.4164,0;4.7873,-3.0565,0;5.6495,-.4026,0;8.2133,-3.0565,0;7.3173,-4.8703,0;8.4386,-5.3697,0;3.08,-1.9042,0;5.2134,-5.3241,0;8.6608,.9966,0;10.2683,-5.0633,0;4.3396,3.4914,0;8.6608,3.4914,0;
</t>
  </si>
  <si>
    <t xml:space="preserve">C00299</t>
  </si>
  <si>
    <t xml:space="preserve">utp[c]</t>
  </si>
  <si>
    <t xml:space="preserve">UTP</t>
  </si>
  <si>
    <t xml:space="preserve">C9H11N2O15P3</t>
  </si>
  <si>
    <t xml:space="preserve">InChI=1/C9H15N2O15P3/c12-5-1-2-11(9(15)10-5)8-7(14)6(13)4(24-8)3-23-28(19,20)26-29(21,22)25-27(16,17)18/h1-2,4,6-8,13-14H,3H2,(H,19,20)(H,21,22)(H,10,12,15)(H2,16,17,18)/p-3/t4-,6-,7-,8-/s2
AuxInfo=1/1/N:28,27,25,23,29,21,22,24,26,20,19,12,5,6,8,16,17,18,10,11,14,15,7,4,13,9,3,1,2/E:(16,17,18)(19,20)(21,22)/rA:29PPPOOOOOOO-OOOO-OO-OONNC.oC.eC.oC.oCCCCC/rB:;;;;;s1;;s1s2;s1;d1;;s2s3;s2;d2;s3;s3;d3;;;s5;s6s21;s4s21;s4s19s22;s7s23;d8s19s20;s19;d-27;d12s20s28;/rC:10.612,-3.7225,0;13.0487,-4.8074,0;15.4855,-5.8923,0;7.7459,.073,0;4.8248,-2.6376,0;3.7897,.5488,0;9.7069,-2.4767,0;3.8328,2.5181,0;11.5173,-4.9683,0;11.8578,-2.8174,0;9.3662,-4.6277,0;6.5001,7.1383,0;14.5803,-4.6463,0;13.2098,-6.339,0;12.8878,-3.2758,0;16.3908,-7.1383,0;16.7315,-4.9872,0;14.2397,-6.7975,0;6.5001,2.5181,0;5.1664,4.8283,0;5.7301,-1.3918,0;5.2541,.073,0;7.2701,-1.3918,0;6.5001,.9781,0;8.1753,-2.6376,0;5.1664,3.2881,0;7.8337,3.2881,0;7.8337,4.8283,0;6.5001,5.5983,0;
</t>
  </si>
  <si>
    <t xml:space="preserve">C00075</t>
  </si>
  <si>
    <t xml:space="preserve">v3haACP[c]</t>
  </si>
  <si>
    <t xml:space="preserve">V-C15-hydroxyacyl-ACP</t>
  </si>
  <si>
    <t xml:space="preserve">C26H49N2O13PRS</t>
  </si>
  <si>
    <t xml:space="preserve">v3oaACP[c]</t>
  </si>
  <si>
    <t xml:space="preserve">V-C15-oxoacyl-ACP</t>
  </si>
  <si>
    <t xml:space="preserve">C26H39N2O13PRS</t>
  </si>
  <si>
    <t xml:space="preserve">val-L[c]</t>
  </si>
  <si>
    <t xml:space="preserve">L-Valine</t>
  </si>
  <si>
    <t xml:space="preserve">C5H11NO2</t>
  </si>
  <si>
    <t xml:space="preserve">InChI=1/C5H11NO2/c1-3(2)4(6)5(7)8/h3-4H,6H2,1-2H3,(H,7,8)/t4-/s2
AuxInfo=1/1/N:6,7,4,5,8,3,1,2/E:(1,2)(7,8)/rA:8O-ON+CC.oCCC/rB:;;;s3s4;s4;s4;s1d2s5;/rC:7.9081,0,0;6.5744,2.31,0;3.9069,.77,0;5.2407,-1.54,0;5.2407,0,0;3.9069,-2.31,0;6.5744,-2.31,0;6.5744,.77,0;
</t>
  </si>
  <si>
    <t xml:space="preserve">C00183</t>
  </si>
  <si>
    <t xml:space="preserve">vtenACP[c]</t>
  </si>
  <si>
    <t xml:space="preserve">V-C15-trans-enoyl-ACP</t>
  </si>
  <si>
    <t xml:space="preserve">C26H39N2O8PRS</t>
  </si>
  <si>
    <t xml:space="preserve">xan[c]</t>
  </si>
  <si>
    <t xml:space="preserve">Xanthine</t>
  </si>
  <si>
    <t xml:space="preserve">C5H4N4O2</t>
  </si>
  <si>
    <t xml:space="preserve">InChI=1S/C5H4N4O2/c10-4-2-3(7-1-6-2)8-5(11)9-4/h1H,(H3,6,7,8,9,10,11)
AuxInfo=1/1/N:11,7,8,9,10,4,6,3,5,1,2/rA:15OONNNNCCCCCHHHH/rB:;;;;;s4;s3s6d+7;d1s5s7;d2s3s5;s4d-6;s3;s4;s5;s11;/rC:5.7473,2.7875,0;3.08,-1.8327,0;5.7473,-1.8327,0;8.5383,.9466,0;4.4137,.4775,0;8.5383,-1.5318,0;7.0812,.4775,0;7.0812,-1.0627,0;5.7473,1.2475,0;4.4137,-1.0627,0;9.4371,-.2927,0;5.7473,-2.7875,0;8.8349,1.8542,0;3.5868,.9548,0;10.3919,-.2927,0;
</t>
  </si>
  <si>
    <t xml:space="preserve">C00385</t>
  </si>
  <si>
    <t xml:space="preserve">xmp[c]</t>
  </si>
  <si>
    <t xml:space="preserve">XMP</t>
  </si>
  <si>
    <t xml:space="preserve">C10H11N4O9P</t>
  </si>
  <si>
    <t xml:space="preserve">InChI=1/C10H13N4O9P/c15-5-3(1-22-24(19,20)21)23-9(6(5)16)14-2-11-4-7(14)12-10(18)13-8(4)17/h2-3,5-6,9,15-16H,1H2,(H2,19,20,21)(H2,12,13,17,18)/p-2/t3-,5-,6-,9-/s2
AuxInfo=1/1/N:19,21,18,22,17,15,20,23,16,24,13,12,14,11,4,3,6,9,7,8,10,5,2,1/E:(19,20,21)/rA:35POOOOOO-O-OONNNNC.eC.eC.eC.eCCCCCCHHHHHHHHHHH/rB:;;;s1;;s1;s1;;d1;;;;;s3;s2s11s15;s4s15;s2s17;s5s18;s11s12;s11d-13;s13d-20;d6s14s22;d9s12s14;s15;s16;s17;s18;s19;s19;s3;s4;s21;s12;s14;/rC:9.1067,5.0872,0;8.1137,-.2307,0;11.7264,-1.912,0;11.7322,1.4385,0;9.5801,3.6217,0;5.7473,-7.2611,0;8.6333,6.5527,0;10.5721,5.5606,0;3.08,-2.6411,0;7.6412,4.6138,0;8.5381,-2.9419,0;5.7473,-2.6411,0;8.5381,-5.4204,0;4.4135,-4.9511,0;10.4821,-1.0046,0;9.0167,-1.478,0;10.4847,.5354,0;9.021,1.0136,0;8.5477,2.4791,0;7.081,-3.4111,0;9.4369,-4.1811,0;7.081,-4.9511,0;5.7473,-5.7211,0;4.4135,-3.4111,0;11.3337,-.5727,0;9.6906,-2.1545,0;11.3348,.1004,0;8.0782,1.1646,0;7.961,3.2327,0;7.7039,2.0324,0;12.5994,-1.5253,0;12.6037,1.0485,0;10.3917,-4.1811,0;5.7473,-1.6863,0;3.5868,-5.4285,0;
</t>
  </si>
  <si>
    <t xml:space="preserve">C00655</t>
  </si>
  <si>
    <t xml:space="preserve">xtsn[c]</t>
  </si>
  <si>
    <t xml:space="preserve">Xanthosine</t>
  </si>
  <si>
    <t xml:space="preserve">C10H12N4O6</t>
  </si>
  <si>
    <t xml:space="preserve">InChI=1/C10H12N4O6/c15-1-3-5(16)6(17)9(20-3)14-2-11-4-7(14)12-10(19)13-8(4)18/h2-3,5-6,9,15-17H,1H2,(H2,12,13,18,19)/t3-,5-,6-,9-/s2
AuxInfo=1/1/N:15,17,14,18,13,12,16,19,11,20,9,8,10,7,4,3,2,5,6,1/rA:32OOOOOONNNNC.eC.eC.eC.eCCCCCCHHHHHHHHHHHH/rB:;;;;;;;;;s1s7;s2s11;s3s12;s1s13;s4s14;s7s8;s7d-9;s9d-16;d5s10s18;d6s8s10;s11;s12;s13;s14;s15;s15;s17;s2;s3;s8;s4;s10;/rC:8.1137,1.1347,0;11.7266,-.5467,0;11.7322,2.8037,0;9.5801,4.9872,0;5.7473,-5.8959,0;3.08,-1.2757,0;8.5383,-1.5766,0;5.7473,-1.2757,0;8.5383,-4.0551,0;4.4137,-3.5857,0;9.0167,-.1127,0;10.4823,.3606,0;10.4849,1.9006,0;9.021,2.3793,0;8.5477,3.8444,0;7.0812,-2.0457,0;9.4371,-2.8157,0;7.0812,-3.5857,0;5.7473,-4.3557,0;4.4137,-2.0457,0;9.6906,-.789,0;11.3337,.7926,0;10.3372,2.8439,0;8.0784,2.5301,0;7.9611,4.598,0;7.7039,3.3977,0;10.3919,-2.8157,0;12.5994,-.1598,0;12.6039,2.4138,0;5.7473,-.3209,0;9.2867,5.8959,0;3.5868,-4.0632,0;
</t>
  </si>
  <si>
    <t xml:space="preserve">C01762</t>
  </si>
  <si>
    <t xml:space="preserve">xu5p-D[c]</t>
  </si>
  <si>
    <t xml:space="preserve">D-Xylulose_5-phosphate</t>
  </si>
  <si>
    <t xml:space="preserve">InChI=1/C5H11O8P/c6-1-3(7)5(9)4(8)2-13-14(10,11)12/h4-6,8-9H,1-2H2,(H2,10,11,12)/p-2/t4-,5-/s2
AuxInfo=1/1/N:14,12,13,10,11,6,5,3,4,7,8,9,2,1/E:(10,11,12)/rA:23POOOOOO-O-OC.eC.eCCCHHHHHHHHH/rB:s1;;;;;s1;s1;d1;s3;s4s10;s2s10;d5s11;s6s13;s10;s11;s12;s12;s14;s14;s3;s4;s6;/rC:13.2429,-.3851,0;11.9091,.3851,0;9.2417,1.9251,0;7.9081,-1.9251,0;6.5744,1.9251,0;3.9069,.3851,0;14.5766,-1.1551,0;14.0129,.9486,0;12.4729,-1.7186,0;9.2417,.3851,0;7.9081,-.3851,0;10.5756,-.3851,0;6.5744,.3851,0;5.2407,-.3851,0;10.0688,.8624,0;8.7351,-.8624,0;9.9617,-1.1165,0;11.1894,-1.1165,0;4.6269,-1.1165,0;5.8544,-1.1165,0;10.0688,2.4024,0;7.0812,-2.4024,0;3.08,-.0924,0;
</t>
  </si>
  <si>
    <t xml:space="preserve">C00231</t>
  </si>
  <si>
    <t xml:space="preserve">zn2[c]</t>
  </si>
  <si>
    <t xml:space="preserve">Zn2</t>
  </si>
  <si>
    <t xml:space="preserve">Zn</t>
  </si>
  <si>
    <t xml:space="preserve">InChI=1S/Zn/q+2
AuxInfo=1/0/N:1/rA:1Zn+2/rB:/rC:;
</t>
  </si>
  <si>
    <t xml:space="preserve">C00038</t>
  </si>
  <si>
    <t xml:space="preserve">zn2[e]</t>
  </si>
  <si>
    <t xml:space="preserve">zn2[p]</t>
  </si>
  <si>
    <t xml:space="preserve">Atom Molecular Weight</t>
  </si>
  <si>
    <t xml:space="preserve">Macromolecule</t>
  </si>
  <si>
    <t xml:space="preserve">overall [gr/gr DW]</t>
  </si>
  <si>
    <t xml:space="preserve">metabolite (BiGG)</t>
  </si>
  <si>
    <t xml:space="preserve">Experimental  Composition</t>
  </si>
  <si>
    <t xml:space="preserve">composition (molar fraction)</t>
  </si>
  <si>
    <t xml:space="preserve">mmol/gDW (Calc.)</t>
  </si>
  <si>
    <t xml:space="preserve">type</t>
  </si>
  <si>
    <t xml:space="preserve">formula</t>
  </si>
  <si>
    <t xml:space="preserve">N</t>
  </si>
  <si>
    <t xml:space="preserve">O</t>
  </si>
  <si>
    <t xml:space="preserve">P</t>
  </si>
  <si>
    <t xml:space="preserve">MW (mg/mmol)</t>
  </si>
  <si>
    <t xml:space="preserve">difference b/w metabolite and structual component</t>
  </si>
  <si>
    <t xml:space="preserve">MWcorr (mg/mmol)</t>
  </si>
  <si>
    <t xml:space="preserve">mg (if total 1 mmol)</t>
  </si>
  <si>
    <t xml:space="preserve">total wt (mg)</t>
  </si>
  <si>
    <t xml:space="preserve">composition (weight fraction)</t>
  </si>
  <si>
    <t xml:space="preserve">g/gDW</t>
  </si>
  <si>
    <t xml:space="preserve">REACTANATS</t>
  </si>
  <si>
    <t xml:space="preserve">Protein</t>
  </si>
  <si>
    <r>
      <rPr>
        <b val="true"/>
        <sz val="10"/>
        <rFont val="Arial"/>
        <family val="2"/>
      </rPr>
      <t xml:space="preserve">mg/ 100 mg Protein </t>
    </r>
    <r>
      <rPr>
        <b val="true"/>
        <vertAlign val="superscript"/>
        <sz val="10"/>
        <rFont val="Arial"/>
        <family val="2"/>
      </rPr>
      <t xml:space="preserve">1</t>
    </r>
  </si>
  <si>
    <t xml:space="preserve">mmol AA/mg Protein</t>
  </si>
  <si>
    <r>
      <rPr>
        <sz val="10"/>
        <rFont val="Arial"/>
        <family val="2"/>
      </rPr>
      <t xml:space="preserve">0.6 </t>
    </r>
    <r>
      <rPr>
        <vertAlign val="superscript"/>
        <sz val="10"/>
        <rFont val="Arial"/>
        <family val="2"/>
      </rPr>
      <t xml:space="preserve">2</t>
    </r>
  </si>
  <si>
    <t xml:space="preserve">ala-L</t>
  </si>
  <si>
    <t xml:space="preserve">AA</t>
  </si>
  <si>
    <t xml:space="preserve">h2o</t>
  </si>
  <si>
    <t xml:space="preserve">arg-L</t>
  </si>
  <si>
    <t xml:space="preserve">asn-L</t>
  </si>
  <si>
    <t xml:space="preserve">asp-L</t>
  </si>
  <si>
    <t xml:space="preserve">cys-L</t>
  </si>
  <si>
    <t xml:space="preserve">gln-L</t>
  </si>
  <si>
    <t xml:space="preserve">glu-L</t>
  </si>
  <si>
    <t xml:space="preserve">gly</t>
  </si>
  <si>
    <t xml:space="preserve">his-L</t>
  </si>
  <si>
    <t xml:space="preserve">ile-L</t>
  </si>
  <si>
    <t xml:space="preserve">leu-L</t>
  </si>
  <si>
    <t xml:space="preserve">lys-L</t>
  </si>
  <si>
    <t xml:space="preserve">met-L</t>
  </si>
  <si>
    <t xml:space="preserve">phe-L</t>
  </si>
  <si>
    <t xml:space="preserve">pro-L</t>
  </si>
  <si>
    <t xml:space="preserve">ser-L</t>
  </si>
  <si>
    <t xml:space="preserve">thr-L</t>
  </si>
  <si>
    <t xml:space="preserve">trp-L</t>
  </si>
  <si>
    <t xml:space="preserve">tyr-L</t>
  </si>
  <si>
    <t xml:space="preserve">val-L</t>
  </si>
  <si>
    <t xml:space="preserve">DNA</t>
  </si>
  <si>
    <t xml:space="preserve">mmol /mmol %*</t>
  </si>
  <si>
    <t xml:space="preserve">mg dNTP/mmolDNA</t>
  </si>
  <si>
    <t xml:space="preserve">mg dNTP / mg DNA</t>
  </si>
  <si>
    <t xml:space="preserve">gdNTP/gDW</t>
  </si>
  <si>
    <r>
      <rPr>
        <sz val="10"/>
        <rFont val="Arial"/>
        <family val="2"/>
      </rPr>
      <t xml:space="preserve">0.023 </t>
    </r>
    <r>
      <rPr>
        <vertAlign val="superscript"/>
        <sz val="10"/>
        <rFont val="Arial"/>
        <family val="2"/>
      </rPr>
      <t xml:space="preserve">†</t>
    </r>
  </si>
  <si>
    <t xml:space="preserve">datp</t>
  </si>
  <si>
    <t xml:space="preserve">ppi</t>
  </si>
  <si>
    <t xml:space="preserve">dctp</t>
  </si>
  <si>
    <t xml:space="preserve">dgtp</t>
  </si>
  <si>
    <t xml:space="preserve">dttp</t>
  </si>
  <si>
    <t xml:space="preserve">RNA</t>
  </si>
  <si>
    <t xml:space="preserve">mg NTP/mmolRNA</t>
  </si>
  <si>
    <t xml:space="preserve">mg NTP / mg RNA</t>
  </si>
  <si>
    <t xml:space="preserve">gNTP/gDW</t>
  </si>
  <si>
    <r>
      <rPr>
        <sz val="10"/>
        <rFont val="Arial"/>
        <family val="2"/>
      </rPr>
      <t xml:space="preserve">0.14</t>
    </r>
    <r>
      <rPr>
        <vertAlign val="superscript"/>
        <sz val="10"/>
        <rFont val="Arial"/>
        <family val="2"/>
      </rPr>
      <t xml:space="preserve">2</t>
    </r>
  </si>
  <si>
    <t xml:space="preserve">ctp</t>
  </si>
  <si>
    <t xml:space="preserve">gtp</t>
  </si>
  <si>
    <t xml:space="preserve">utp</t>
  </si>
  <si>
    <t xml:space="preserve">atp*</t>
  </si>
  <si>
    <r>
      <rPr>
        <sz val="10"/>
        <rFont val="Arial"/>
        <family val="2"/>
      </rPr>
      <t xml:space="preserve">0.025 </t>
    </r>
    <r>
      <rPr>
        <vertAlign val="superscript"/>
        <sz val="10"/>
        <rFont val="Arial"/>
        <family val="2"/>
      </rPr>
      <t xml:space="preserve">3</t>
    </r>
  </si>
  <si>
    <t xml:space="preserve">glycogen</t>
  </si>
  <si>
    <t xml:space="preserve">carbohydrate</t>
  </si>
  <si>
    <t xml:space="preserve">none</t>
  </si>
  <si>
    <t xml:space="preserve">Murein</t>
  </si>
  <si>
    <t xml:space="preserve">murein</t>
  </si>
  <si>
    <r>
      <rPr>
        <sz val="10"/>
        <rFont val="Arial"/>
        <family val="2"/>
      </rPr>
      <t xml:space="preserve">0.034 </t>
    </r>
    <r>
      <rPr>
        <vertAlign val="superscript"/>
        <sz val="10"/>
        <rFont val="Arial"/>
        <family val="2"/>
      </rPr>
      <t xml:space="preserve">3</t>
    </r>
  </si>
  <si>
    <t xml:space="preserve">lps_AFE</t>
  </si>
  <si>
    <t xml:space="preserve">Phospholipid</t>
  </si>
  <si>
    <r>
      <rPr>
        <sz val="10"/>
        <rFont val="Arial"/>
        <family val="2"/>
      </rPr>
      <t xml:space="preserve">0.093 </t>
    </r>
    <r>
      <rPr>
        <vertAlign val="superscript"/>
        <sz val="10"/>
        <rFont val="Arial"/>
        <family val="2"/>
      </rPr>
      <t xml:space="preserve">3</t>
    </r>
  </si>
  <si>
    <t xml:space="preserve">ppl_AFE</t>
  </si>
  <si>
    <t xml:space="preserve">C38.8H74.5N0.58O8.94P1</t>
  </si>
  <si>
    <t xml:space="preserve">Inorganic Ions</t>
  </si>
  <si>
    <r>
      <rPr>
        <b val="true"/>
        <sz val="10"/>
        <rFont val="Arial"/>
        <family val="2"/>
      </rPr>
      <t xml:space="preserve">mg/100mg biomass </t>
    </r>
    <r>
      <rPr>
        <b val="true"/>
        <vertAlign val="superscript"/>
        <sz val="10"/>
        <rFont val="Arial"/>
        <family val="2"/>
      </rPr>
      <t xml:space="preserve">1</t>
    </r>
  </si>
  <si>
    <r>
      <rPr>
        <sz val="10"/>
        <rFont val="Arial"/>
        <family val="2"/>
      </rPr>
      <t xml:space="preserve">0.03 </t>
    </r>
    <r>
      <rPr>
        <vertAlign val="superscript"/>
        <sz val="10"/>
        <rFont val="Arial"/>
        <family val="2"/>
      </rPr>
      <t xml:space="preserve">1</t>
    </r>
  </si>
  <si>
    <t xml:space="preserve">k</t>
  </si>
  <si>
    <t xml:space="preserve">na</t>
  </si>
  <si>
    <t xml:space="preserve">mg2</t>
  </si>
  <si>
    <t xml:space="preserve">ca2</t>
  </si>
  <si>
    <t xml:space="preserve">fe2</t>
  </si>
  <si>
    <t xml:space="preserve">fe3</t>
  </si>
  <si>
    <t xml:space="preserve">cu2</t>
  </si>
  <si>
    <t xml:space="preserve">mn2</t>
  </si>
  <si>
    <t xml:space="preserve">zn2</t>
  </si>
  <si>
    <t xml:space="preserve">so4</t>
  </si>
  <si>
    <t xml:space="preserve">Soluble Pool</t>
  </si>
  <si>
    <t xml:space="preserve">mg/mmol soluble pool</t>
  </si>
  <si>
    <t xml:space="preserve">mmol / mmolsoluble pool</t>
  </si>
  <si>
    <r>
      <rPr>
        <sz val="10"/>
        <rFont val="Arial"/>
        <family val="2"/>
      </rPr>
      <t xml:space="preserve">0.0034 </t>
    </r>
    <r>
      <rPr>
        <vertAlign val="superscript"/>
        <sz val="10"/>
        <rFont val="Arial"/>
        <family val="2"/>
      </rPr>
      <t xml:space="preserve">3</t>
    </r>
  </si>
  <si>
    <t xml:space="preserve">ptrc</t>
  </si>
  <si>
    <t xml:space="preserve">cofactor</t>
  </si>
  <si>
    <t xml:space="preserve">spmd</t>
  </si>
  <si>
    <t xml:space="preserve">accoa</t>
  </si>
  <si>
    <t xml:space="preserve">coa</t>
  </si>
  <si>
    <t xml:space="preserve">succoa</t>
  </si>
  <si>
    <t xml:space="preserve">nad</t>
  </si>
  <si>
    <t xml:space="preserve">nadp</t>
  </si>
  <si>
    <t xml:space="preserve">nadph</t>
  </si>
  <si>
    <t xml:space="preserve">fad</t>
  </si>
  <si>
    <t xml:space="preserve">thf</t>
  </si>
  <si>
    <t xml:space="preserve">mlthf</t>
  </si>
  <si>
    <t xml:space="preserve">5mthf</t>
  </si>
  <si>
    <t xml:space="preserve">thmpp</t>
  </si>
  <si>
    <t xml:space="preserve">q8h2</t>
  </si>
  <si>
    <t xml:space="preserve">pydx5p</t>
  </si>
  <si>
    <t xml:space="preserve">hemeO</t>
  </si>
  <si>
    <t xml:space="preserve">pheme</t>
  </si>
  <si>
    <t xml:space="preserve">sheme</t>
  </si>
  <si>
    <t xml:space="preserve">gthrd</t>
  </si>
  <si>
    <t xml:space="preserve">udcpdp</t>
  </si>
  <si>
    <t xml:space="preserve">10fthf</t>
  </si>
  <si>
    <t xml:space="preserve">chor</t>
  </si>
  <si>
    <t xml:space="preserve">amet</t>
  </si>
  <si>
    <t xml:space="preserve">ribflv</t>
  </si>
  <si>
    <t xml:space="preserve">mg/mmol</t>
  </si>
  <si>
    <t xml:space="preserve">maintenance</t>
  </si>
  <si>
    <t xml:space="preserve">maint</t>
  </si>
  <si>
    <t xml:space="preserve">C10H12N5O13P5</t>
  </si>
  <si>
    <t xml:space="preserve">h2o*</t>
  </si>
  <si>
    <t xml:space="preserve">maintenance +RNA</t>
  </si>
  <si>
    <t xml:space="preserve">maintenance - AA</t>
  </si>
  <si>
    <t xml:space="preserve">PRODUCTS</t>
  </si>
  <si>
    <r>
      <rPr>
        <sz val="10"/>
        <rFont val="Arial"/>
        <family val="2"/>
      </rPr>
      <t xml:space="preserve">maintenance </t>
    </r>
    <r>
      <rPr>
        <vertAlign val="superscript"/>
        <sz val="10"/>
        <rFont val="Arial"/>
        <family val="2"/>
      </rPr>
      <t xml:space="preserve">‡</t>
    </r>
  </si>
  <si>
    <t xml:space="preserve">adp</t>
  </si>
  <si>
    <t xml:space="preserve">pi*</t>
  </si>
  <si>
    <t xml:space="preserve">sum of dNTPs</t>
  </si>
  <si>
    <t xml:space="preserve">ppi*</t>
  </si>
  <si>
    <t xml:space="preserve">sum of NTPs</t>
  </si>
  <si>
    <t xml:space="preserve">sum of AA</t>
  </si>
  <si>
    <t xml:space="preserve">NT + dNT</t>
  </si>
  <si>
    <t xml:space="preserve">*</t>
  </si>
  <si>
    <t xml:space="preserve">Nucleotide content according to the genome composition. See Supplementary Table 4.</t>
  </si>
  <si>
    <t xml:space="preserve">†</t>
  </si>
  <si>
    <t xml:space="preserve">Obtain form correlation with different microorganisms. See Supplementary Table 4.</t>
  </si>
  <si>
    <t xml:space="preserve">‡</t>
  </si>
  <si>
    <t xml:space="preserve">GAM maintenance coefficients obtain from parameter estimation.</t>
  </si>
  <si>
    <t xml:space="preserve">Specie</t>
  </si>
  <si>
    <t xml:space="preserve">Genome size[bp]</t>
  </si>
  <si>
    <t xml:space="preserve">Genome size[Mbp]</t>
  </si>
  <si>
    <t xml:space="preserve"> mg DNA/mg DW</t>
  </si>
  <si>
    <r>
      <rPr>
        <b val="true"/>
        <sz val="9"/>
        <color rgb="FF000000"/>
        <rFont val="Arial"/>
        <family val="2"/>
      </rPr>
      <t xml:space="preserve">DNA Composition</t>
    </r>
    <r>
      <rPr>
        <b val="true"/>
        <vertAlign val="superscript"/>
        <sz val="9"/>
        <color rgb="FF000000"/>
        <rFont val="Arial"/>
        <family val="2"/>
      </rPr>
      <t xml:space="preserve"> 10</t>
    </r>
  </si>
  <si>
    <r>
      <rPr>
        <i val="true"/>
        <sz val="9"/>
        <color rgb="FF000000"/>
        <rFont val="Arial"/>
        <family val="2"/>
      </rPr>
      <t xml:space="preserve">Escherichia coli K-12 </t>
    </r>
    <r>
      <rPr>
        <vertAlign val="superscript"/>
        <sz val="9"/>
        <color rgb="FF000000"/>
        <rFont val="Arial"/>
        <family val="2"/>
      </rPr>
      <t xml:space="preserve">3</t>
    </r>
  </si>
  <si>
    <t xml:space="preserve">NB</t>
  </si>
  <si>
    <t xml:space="preserve">mol/mol%</t>
  </si>
  <si>
    <r>
      <rPr>
        <i val="true"/>
        <sz val="9"/>
        <color rgb="FF000000"/>
        <rFont val="Arial"/>
        <family val="2"/>
      </rPr>
      <t xml:space="preserve">Mannheimia succiniciproducens </t>
    </r>
    <r>
      <rPr>
        <vertAlign val="superscript"/>
        <sz val="9"/>
        <color rgb="FF000000"/>
        <rFont val="Arial"/>
        <family val="2"/>
      </rPr>
      <t xml:space="preserve">4</t>
    </r>
  </si>
  <si>
    <t xml:space="preserve">A</t>
  </si>
  <si>
    <r>
      <rPr>
        <i val="true"/>
        <sz val="9"/>
        <color rgb="FF000000"/>
        <rFont val="Arial"/>
        <family val="2"/>
      </rPr>
      <t xml:space="preserve">Salmonella typhimurium </t>
    </r>
    <r>
      <rPr>
        <vertAlign val="superscript"/>
        <sz val="9"/>
        <color rgb="FF000000"/>
        <rFont val="Arial"/>
        <family val="2"/>
      </rPr>
      <t xml:space="preserve">5</t>
    </r>
  </si>
  <si>
    <t xml:space="preserve">T</t>
  </si>
  <si>
    <r>
      <rPr>
        <i val="true"/>
        <sz val="9"/>
        <color rgb="FF000000"/>
        <rFont val="Arial"/>
        <family val="2"/>
      </rPr>
      <t xml:space="preserve">Shewanella oneidensis </t>
    </r>
    <r>
      <rPr>
        <i val="true"/>
        <vertAlign val="superscript"/>
        <sz val="9"/>
        <color rgb="FF000000"/>
        <rFont val="Arial"/>
        <family val="2"/>
      </rPr>
      <t xml:space="preserve">6</t>
    </r>
  </si>
  <si>
    <t xml:space="preserve">G</t>
  </si>
  <si>
    <r>
      <rPr>
        <i val="true"/>
        <sz val="9"/>
        <color rgb="FF000000"/>
        <rFont val="Arial"/>
        <family val="2"/>
      </rPr>
      <t xml:space="preserve">Vibrio vulnificus </t>
    </r>
    <r>
      <rPr>
        <i val="true"/>
        <vertAlign val="superscript"/>
        <sz val="9"/>
        <color rgb="FF000000"/>
        <rFont val="Arial"/>
        <family val="2"/>
      </rPr>
      <t xml:space="preserve">7</t>
    </r>
  </si>
  <si>
    <r>
      <rPr>
        <i val="true"/>
        <sz val="9"/>
        <color rgb="FF000000"/>
        <rFont val="Arial"/>
        <family val="2"/>
      </rPr>
      <t xml:space="preserve">Corynebacterium glutamicum ATCC 13032 </t>
    </r>
    <r>
      <rPr>
        <i val="true"/>
        <vertAlign val="superscript"/>
        <sz val="9"/>
        <color rgb="FF000000"/>
        <rFont val="Arial"/>
        <family val="2"/>
      </rPr>
      <t xml:space="preserve">8</t>
    </r>
  </si>
  <si>
    <r>
      <rPr>
        <i val="true"/>
        <sz val="9"/>
        <color rgb="FF000000"/>
        <rFont val="Arial"/>
        <family val="2"/>
      </rPr>
      <t xml:space="preserve">Acidithiobacillus ferrooxidans ATCC 23270 </t>
    </r>
    <r>
      <rPr>
        <vertAlign val="superscript"/>
        <sz val="9"/>
        <color rgb="FF000000"/>
        <rFont val="Arial"/>
        <family val="2"/>
      </rPr>
      <t xml:space="preserve">9</t>
    </r>
  </si>
  <si>
    <r>
      <rPr>
        <b val="true"/>
        <sz val="16"/>
        <color rgb="FFFFFFFF"/>
        <rFont val="Arial"/>
        <family val="2"/>
      </rPr>
      <t xml:space="preserve">RNA</t>
    </r>
    <r>
      <rPr>
        <b val="true"/>
        <vertAlign val="superscript"/>
        <sz val="16"/>
        <color rgb="FFFFFFFF"/>
        <rFont val="Arial"/>
        <family val="2"/>
      </rPr>
      <t xml:space="preserve">10</t>
    </r>
  </si>
  <si>
    <t xml:space="preserve">Number of Triplet Occurences</t>
  </si>
  <si>
    <t xml:space="preserve">% Triplet Frequency</t>
  </si>
  <si>
    <t xml:space="preserve">% Triplet Frequency for AA</t>
  </si>
  <si>
    <t xml:space="preserve">AA Name</t>
  </si>
  <si>
    <t xml:space="preserve">Codon Triplet</t>
  </si>
  <si>
    <t xml:space="preserve">U</t>
  </si>
  <si>
    <t xml:space="preserve">Ala (A)</t>
  </si>
  <si>
    <t xml:space="preserve">GCC</t>
  </si>
  <si>
    <t xml:space="preserve">GCA</t>
  </si>
  <si>
    <t xml:space="preserve">GCG</t>
  </si>
  <si>
    <t xml:space="preserve">GCT</t>
  </si>
  <si>
    <t xml:space="preserve">Arg (R)</t>
  </si>
  <si>
    <t xml:space="preserve">CGA</t>
  </si>
  <si>
    <t xml:space="preserve">AGG</t>
  </si>
  <si>
    <t xml:space="preserve">CGT</t>
  </si>
  <si>
    <t xml:space="preserve">CGG</t>
  </si>
  <si>
    <t xml:space="preserve">a</t>
  </si>
  <si>
    <t xml:space="preserve">AGA</t>
  </si>
  <si>
    <t xml:space="preserve">CGC</t>
  </si>
  <si>
    <t xml:space="preserve">Asn (N)</t>
  </si>
  <si>
    <t xml:space="preserve">AAC</t>
  </si>
  <si>
    <t xml:space="preserve">AAT</t>
  </si>
  <si>
    <t xml:space="preserve">Asp (D)</t>
  </si>
  <si>
    <t xml:space="preserve">GAC</t>
  </si>
  <si>
    <t xml:space="preserve">GAT</t>
  </si>
  <si>
    <t xml:space="preserve">Cys (C)</t>
  </si>
  <si>
    <t xml:space="preserve">TGC</t>
  </si>
  <si>
    <t xml:space="preserve">TGT</t>
  </si>
  <si>
    <t xml:space="preserve">Gln (Q)</t>
  </si>
  <si>
    <t xml:space="preserve">CAA</t>
  </si>
  <si>
    <t xml:space="preserve">CAG</t>
  </si>
  <si>
    <t xml:space="preserve">Glu (E)</t>
  </si>
  <si>
    <t xml:space="preserve">GAG</t>
  </si>
  <si>
    <t xml:space="preserve">GAA</t>
  </si>
  <si>
    <t xml:space="preserve">Gly (G)</t>
  </si>
  <si>
    <t xml:space="preserve">GGA</t>
  </si>
  <si>
    <t xml:space="preserve">GGT</t>
  </si>
  <si>
    <t xml:space="preserve">GGG</t>
  </si>
  <si>
    <t xml:space="preserve">GGC</t>
  </si>
  <si>
    <t xml:space="preserve">His (H)</t>
  </si>
  <si>
    <t xml:space="preserve">CAC</t>
  </si>
  <si>
    <t xml:space="preserve">Ile (I)</t>
  </si>
  <si>
    <t xml:space="preserve">ATT</t>
  </si>
  <si>
    <t xml:space="preserve">ATC</t>
  </si>
  <si>
    <t xml:space="preserve">ATA</t>
  </si>
  <si>
    <t xml:space="preserve">Leu (L)</t>
  </si>
  <si>
    <t xml:space="preserve">CTT</t>
  </si>
  <si>
    <t xml:space="preserve">CTG</t>
  </si>
  <si>
    <t xml:space="preserve">TTA</t>
  </si>
  <si>
    <t xml:space="preserve">CTA</t>
  </si>
  <si>
    <t xml:space="preserve">CTC</t>
  </si>
  <si>
    <t xml:space="preserve">TTG</t>
  </si>
  <si>
    <t xml:space="preserve">Lys (K)</t>
  </si>
  <si>
    <t xml:space="preserve">AAG</t>
  </si>
  <si>
    <t xml:space="preserve">AAA</t>
  </si>
  <si>
    <t xml:space="preserve">Met (M)</t>
  </si>
  <si>
    <t xml:space="preserve">ATG</t>
  </si>
  <si>
    <t xml:space="preserve">Phe (F)</t>
  </si>
  <si>
    <t xml:space="preserve">TTT</t>
  </si>
  <si>
    <t xml:space="preserve">TTC</t>
  </si>
  <si>
    <t xml:space="preserve">Pro (P)</t>
  </si>
  <si>
    <t xml:space="preserve">CCG</t>
  </si>
  <si>
    <t xml:space="preserve">CCC</t>
  </si>
  <si>
    <t xml:space="preserve">CCA</t>
  </si>
  <si>
    <t xml:space="preserve">CCT</t>
  </si>
  <si>
    <t xml:space="preserve">Ser (S)</t>
  </si>
  <si>
    <t xml:space="preserve">AGT</t>
  </si>
  <si>
    <t xml:space="preserve">TCA</t>
  </si>
  <si>
    <t xml:space="preserve">AGC</t>
  </si>
  <si>
    <t xml:space="preserve">TCG</t>
  </si>
  <si>
    <t xml:space="preserve">TCC</t>
  </si>
  <si>
    <t xml:space="preserve">TCT</t>
  </si>
  <si>
    <t xml:space="preserve">STOP </t>
  </si>
  <si>
    <t xml:space="preserve">TAG</t>
  </si>
  <si>
    <t xml:space="preserve">TGA</t>
  </si>
  <si>
    <t xml:space="preserve">TAA</t>
  </si>
  <si>
    <t xml:space="preserve">Thr (T)</t>
  </si>
  <si>
    <t xml:space="preserve">ACA</t>
  </si>
  <si>
    <t xml:space="preserve">ACT</t>
  </si>
  <si>
    <t xml:space="preserve">ACC</t>
  </si>
  <si>
    <t xml:space="preserve">ACG</t>
  </si>
  <si>
    <t xml:space="preserve">Trp (W)</t>
  </si>
  <si>
    <t xml:space="preserve">TGG</t>
  </si>
  <si>
    <t xml:space="preserve">Tyr (Y)</t>
  </si>
  <si>
    <t xml:space="preserve">TAT</t>
  </si>
  <si>
    <t xml:space="preserve">TAC</t>
  </si>
  <si>
    <t xml:space="preserve">Val (V)</t>
  </si>
  <si>
    <t xml:space="preserve">GTC</t>
  </si>
  <si>
    <t xml:space="preserve">GTG</t>
  </si>
  <si>
    <t xml:space="preserve">GTT</t>
  </si>
  <si>
    <t xml:space="preserve">GTA</t>
  </si>
  <si>
    <t xml:space="preserve">SUM</t>
  </si>
  <si>
    <t xml:space="preserve">Grand Totals</t>
  </si>
  <si>
    <t xml:space="preserve">In stop codon</t>
  </si>
  <si>
    <t xml:space="preserve">Total</t>
  </si>
  <si>
    <t xml:space="preserve">Phospholipid (PL)</t>
  </si>
  <si>
    <r>
      <rPr>
        <b val="true"/>
        <sz val="9"/>
        <color rgb="FF000000"/>
        <rFont val="Arial"/>
        <family val="2"/>
      </rPr>
      <t xml:space="preserve">Fatty Acid ACP for Phospholipo synthesis distribution based on </t>
    </r>
    <r>
      <rPr>
        <b val="true"/>
        <vertAlign val="superscript"/>
        <sz val="9"/>
        <color rgb="FF000000"/>
        <rFont val="Arial"/>
        <family val="2"/>
      </rPr>
      <t xml:space="preserve">11</t>
    </r>
  </si>
  <si>
    <t xml:space="preserve">Distribution of Fatty Acids-ACP [mol/mol]</t>
  </si>
  <si>
    <t xml:space="preserve">ddcaACP</t>
  </si>
  <si>
    <t xml:space="preserve">Dodecanoyl-ACP </t>
  </si>
  <si>
    <t xml:space="preserve">palmACP</t>
  </si>
  <si>
    <t xml:space="preserve">hpdcaACP</t>
  </si>
  <si>
    <t xml:space="preserve">ocdcaACP</t>
  </si>
  <si>
    <t xml:space="preserve">hmrsACP</t>
  </si>
  <si>
    <t xml:space="preserve">ptdcaACP</t>
  </si>
  <si>
    <t xml:space="preserve">chexcaACP</t>
  </si>
  <si>
    <t xml:space="preserve">thepcaACP</t>
  </si>
  <si>
    <t xml:space="preserve">octeACP</t>
  </si>
  <si>
    <t xml:space="preserve">c190cACP</t>
  </si>
  <si>
    <t xml:space="preserve">C19_cyclopropane-ACP </t>
  </si>
  <si>
    <r>
      <rPr>
        <b val="true"/>
        <sz val="9"/>
        <color rgb="FF000000"/>
        <rFont val="Arial"/>
        <family val="2"/>
      </rPr>
      <t xml:space="preserve">Phospholipid precursors distribution based on </t>
    </r>
    <r>
      <rPr>
        <b val="true"/>
        <vertAlign val="superscript"/>
        <sz val="9"/>
        <color rgb="FF000000"/>
        <rFont val="Arial"/>
        <family val="2"/>
      </rPr>
      <t xml:space="preserve">12</t>
    </r>
  </si>
  <si>
    <t xml:space="preserve">Distribution of PL precursors [mol/mol]</t>
  </si>
  <si>
    <t xml:space="preserve">pg120</t>
  </si>
  <si>
    <t xml:space="preserve">pe_AFE</t>
  </si>
  <si>
    <t xml:space="preserve">ptdmeeta_AFE</t>
  </si>
  <si>
    <t xml:space="preserve">clpn120</t>
  </si>
  <si>
    <t xml:space="preserve">Lipopolysccharide (LPS)  </t>
  </si>
  <si>
    <r>
      <rPr>
        <b val="true"/>
        <sz val="11"/>
        <color rgb="FF000000"/>
        <rFont val="Arial"/>
        <family val="2"/>
      </rPr>
      <t xml:space="preserve">Acidithiobacillus ferroxidand Polysaccharide (polysac_AFE)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</si>
  <si>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Distribution [mol/mol]</t>
  </si>
  <si>
    <t xml:space="preserve">dtdprmn</t>
  </si>
  <si>
    <t xml:space="preserve">gdpmann</t>
  </si>
  <si>
    <t xml:space="preserve">dtdpglu</t>
  </si>
  <si>
    <t xml:space="preserve"> hlipa_AFE</t>
  </si>
  <si>
    <t xml:space="preserve">gam</t>
  </si>
  <si>
    <r>
      <rPr>
        <b val="true"/>
        <sz val="11"/>
        <color rgb="FF000000"/>
        <rFont val="Arial"/>
        <family val="2"/>
      </rPr>
      <t xml:space="preserve">Acidithiobacillus ferroxidans Lipopolysaccharide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</si>
  <si>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polysac_AFE</t>
  </si>
  <si>
    <t xml:space="preserve">lip_AFE</t>
  </si>
  <si>
    <t xml:space="preserve"> Extracellular Polymeric Sustances (EPS)</t>
  </si>
  <si>
    <r>
      <rPr>
        <b val="true"/>
        <sz val="11"/>
        <color rgb="FF000000"/>
        <rFont val="Arial"/>
        <family val="2"/>
      </rPr>
      <t xml:space="preserve">EPS composition according to </t>
    </r>
    <r>
      <rPr>
        <b val="true"/>
        <vertAlign val="superscript"/>
        <sz val="11"/>
        <color rgb="FF000000"/>
        <rFont val="Arial"/>
        <family val="2"/>
      </rPr>
      <t xml:space="preserve">14</t>
    </r>
  </si>
  <si>
    <t xml:space="preserve">Metabolite Type Precursor</t>
  </si>
  <si>
    <t xml:space="preserve">Sugar</t>
  </si>
  <si>
    <t xml:space="preserve">gdpfuc</t>
  </si>
  <si>
    <t xml:space="preserve">udpxyl</t>
  </si>
  <si>
    <t xml:space="preserve">udpglcur</t>
  </si>
  <si>
    <t xml:space="preserve">Fatty Acid</t>
  </si>
  <si>
    <t xml:space="preserve">myrsACP</t>
  </si>
  <si>
    <t xml:space="preserve">nodcaACP</t>
  </si>
  <si>
    <t xml:space="preserve">arachACP</t>
  </si>
  <si>
    <r>
      <rPr>
        <b val="true"/>
        <sz val="9"/>
        <color rgb="FF000000"/>
        <rFont val="Arial"/>
        <family val="2"/>
      </rPr>
      <t xml:space="preserve">µ [h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</si>
  <si>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fe2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</si>
  <si>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o2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</si>
  <si>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co2 consumption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</si>
  <si>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s4o6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</si>
  <si>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s2o3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</si>
  <si>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17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</si>
  <si>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15, 16</t>
    </r>
  </si>
  <si>
    <t xml:space="preserve">Sub Systems</t>
  </si>
  <si>
    <t xml:space="preserve">Nr of Reactions</t>
  </si>
  <si>
    <t xml:space="preserve">Reactions with Gene Associations</t>
  </si>
  <si>
    <t xml:space="preserve">Reactions with No Gene Associations</t>
  </si>
  <si>
    <t xml:space="preserve">Glutamate Metabolism</t>
  </si>
  <si>
    <t xml:space="preserve">Aminoacid and related molecules</t>
  </si>
  <si>
    <t xml:space="preserve">Calvin-Benson-Bassham Cycle</t>
  </si>
  <si>
    <t xml:space="preserve">Central Carbon Metabolism</t>
  </si>
  <si>
    <t xml:space="preserve">Membrane Lipid Metabolism</t>
  </si>
  <si>
    <t xml:space="preserve">Transport</t>
  </si>
  <si>
    <t xml:space="preserve">Other Functions</t>
  </si>
  <si>
    <t xml:space="preserve">TOTAL</t>
  </si>
  <si>
    <t xml:space="preserve">KO Reactions</t>
  </si>
  <si>
    <t xml:space="preserve">Biomass</t>
  </si>
  <si>
    <t xml:space="preserve">'FUM'</t>
  </si>
  <si>
    <t xml:space="preserve">'MDH'</t>
  </si>
  <si>
    <t xml:space="preserve">'ADA'</t>
  </si>
  <si>
    <t xml:space="preserve">'ADPT'</t>
  </si>
  <si>
    <t xml:space="preserve">'PUNP1'</t>
  </si>
  <si>
    <t xml:space="preserve">'INSK'</t>
  </si>
  <si>
    <t xml:space="preserve">'PUNP2'</t>
  </si>
  <si>
    <t xml:space="preserve">'IMPD'</t>
  </si>
  <si>
    <t xml:space="preserve">'GUAD'</t>
  </si>
  <si>
    <t xml:space="preserve">'HXAND'</t>
  </si>
  <si>
    <t xml:space="preserve">'ADNSE'</t>
  </si>
  <si>
    <t xml:space="preserve">'HCYSMT'</t>
  </si>
  <si>
    <t xml:space="preserve">'GUAPRT'</t>
  </si>
  <si>
    <t xml:space="preserve">'UPPRT'</t>
  </si>
  <si>
    <t xml:space="preserve">'URIP'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</si>
</sst>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0"/>
    <numFmt numFmtId="167" formatCode="0.00000"/>
    <numFmt numFmtId="168" formatCode="0.000"/>
    <numFmt numFmtId="169" formatCode="0.00"/>
    <numFmt numFmtId="170" formatCode="0.0000"/>
    <numFmt numFmtId="171" formatCode="0.0"/>
    <numFmt numFmtId="172" formatCode="0.00%"/>
    <numFmt numFmtId="173" formatCode="0%"/>
  </numFmts>
  <fonts count="43">
    <font>
      <sz val="11"/>
      <color rgb="FF00000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Verdana"/>
      <family val="2"/>
    </font>
    <font>
      <sz val="10"/>
      <name val="Arial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  <font>
      <i val="true"/>
      <sz val="11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333333"/>
      <name val="Arial"/>
      <family val="2"/>
    </font>
    <font>
      <sz val="9"/>
      <color rgb="FF000000"/>
      <name val="Arial"/>
      <family val="2"/>
    </font>
    <font>
      <b val="true"/>
      <sz val="12"/>
      <color rgb="FF000000"/>
      <name val="Calibri"/>
      <family val="2"/>
    </font>
    <font>
      <sz val="9"/>
      <color rgb="FF000000"/>
      <name val="Tahoma"/>
      <family val="2"/>
    </font>
    <font>
      <b val="true"/>
      <sz val="10"/>
      <name val="Arial"/>
      <family val="2"/>
    </font>
    <font>
      <b val="true"/>
      <sz val="16"/>
      <name val="Arial"/>
      <family val="2"/>
    </font>
    <font>
      <b val="true"/>
      <sz val="18"/>
      <name val="Arial"/>
      <family val="2"/>
    </font>
    <font>
      <b val="true"/>
      <sz val="11"/>
      <color rgb="FF000000"/>
      <name val="Noto Sans SC"/>
      <family val="2"/>
    </font>
    <font>
      <b val="true"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Noto Sans SC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6"/>
      <color rgb="FFFFFFFF"/>
      <name val="Arial"/>
      <family val="2"/>
    </font>
    <font>
      <sz val="11"/>
      <color rgb="FFFFFFFF"/>
      <name val="Noto Sans SC"/>
      <family val="2"/>
    </font>
    <font>
      <b val="true"/>
      <sz val="9"/>
      <color rgb="FF000000"/>
      <name val="Arial"/>
      <family val="2"/>
    </font>
    <font>
      <b val="true"/>
      <vertAlign val="superscript"/>
      <sz val="9"/>
      <color rgb="FF000000"/>
      <name val="Arial"/>
      <family val="2"/>
    </font>
    <font>
      <i val="true"/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i val="true"/>
      <vertAlign val="superscript"/>
      <sz val="9"/>
      <color rgb="FF000000"/>
      <name val="Arial"/>
      <family val="2"/>
    </font>
    <font>
      <sz val="9"/>
      <color rgb="FF000000"/>
      <name val="Noto Sans SC"/>
      <family val="2"/>
    </font>
    <font>
      <b val="true"/>
      <vertAlign val="superscript"/>
      <sz val="16"/>
      <color rgb="FFFFFFFF"/>
      <name val="Arial"/>
      <family val="2"/>
    </font>
    <font>
      <b val="true"/>
      <sz val="16"/>
      <color rgb="FFFFFFFF"/>
      <name val="Noto Sans SC"/>
      <family val="2"/>
    </font>
    <font>
      <b val="true"/>
      <sz val="9"/>
      <color rgb="FF000000"/>
      <name val="Noto Sans SC"/>
      <family val="2"/>
    </font>
    <font>
      <b val="true"/>
      <vertAlign val="superscript"/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Noto Sans SC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9CC00"/>
        <bgColor rgb="FFFFCC00"/>
      </patternFill>
    </fill>
    <fill>
      <patternFill patternType="solid">
        <fgColor rgb="FF000000"/>
        <bgColor rgb="FF003300"/>
      </patternFill>
    </fill>
    <fill>
      <patternFill patternType="solid">
        <fgColor rgb="FF969696"/>
        <bgColor rgb="FF8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7" fillId="0" borderId="0" applyFont="true" applyBorder="false" applyAlignment="false" applyProtection="false"/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4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4" borderId="5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8" fillId="5" borderId="6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3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1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6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5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3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10" xfId="21"/>
    <cellStyle name="Normal 10 2" xfId="22"/>
    <cellStyle name="Normal 12" xfId="23"/>
    <cellStyle name="Normal 12 2" xfId="24"/>
    <cellStyle name="Normal 13" xfId="25"/>
    <cellStyle name="Normal 13 2" xfId="26"/>
    <cellStyle name="Normal 14" xfId="27"/>
    <cellStyle name="Normal 14 2" xfId="28"/>
    <cellStyle name="Normal 2" xfId="29"/>
    <cellStyle name="Normal 2 2" xfId="30"/>
    <cellStyle name="Normal 2 3" xfId="31"/>
    <cellStyle name="Normal 2 4" xfId="32"/>
    <cellStyle name="Normal 2 5" xfId="33"/>
    <cellStyle name="Normal 3" xfId="34"/>
    <cellStyle name="Normal 4" xfId="35"/>
    <cellStyle name="Normal 5" xfId="36"/>
    <cellStyle name="Note 10" xfId="37"/>
    <cellStyle name="Note 10 2" xfId="38"/>
    <cellStyle name="Note 11" xfId="39"/>
    <cellStyle name="Note 11 2" xfId="40"/>
    <cellStyle name="Note 12" xfId="41"/>
    <cellStyle name="Note 12 2" xfId="42"/>
    <cellStyle name="Note 2" xfId="43"/>
    <cellStyle name="Note 2 2" xfId="44"/>
    <cellStyle name="Note 3" xfId="45"/>
    <cellStyle name="Note 3 2" xfId="46"/>
    <cellStyle name="Note 4" xfId="47"/>
    <cellStyle name="Note 4 2" xfId="48"/>
    <cellStyle name="Note 5" xfId="49"/>
    <cellStyle name="Note 5 2" xfId="50"/>
    <cellStyle name="Note 6" xfId="51"/>
    <cellStyle name="Note 6 2" xfId="52"/>
    <cellStyle name="Note 7" xfId="53"/>
    <cellStyle name="Note 7 2" xfId="54"/>
    <cellStyle name="Note 8" xfId="55"/>
    <cellStyle name="Note 8 2" xfId="56"/>
    <cellStyle name="Note 9" xfId="57"/>
    <cellStyle name="Note 9 2" xfId="58"/>
    <cellStyle name="Title 2" xfId="59"/>
    <cellStyle name="Title 2 2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6282860147214"/>
          <c:y val="0.0424877960585789"/>
          <c:w val="0.882492113564669"/>
          <c:h val="0.85608389079732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3366"/>
            </a:solidFill>
            <a:ln w="0">
              <a:noFill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'Table 4'!$C$5:$C$10</c:f>
              <c:numCache>
                <c:formatCode>0.0</c:formatCode>
                <c:ptCount val="6"/>
                <c:pt idx="0">
                  <c:v>4.639221</c:v>
                </c:pt>
                <c:pt idx="1">
                  <c:v>2.314078</c:v>
                </c:pt>
                <c:pt idx="2">
                  <c:v>4.951371</c:v>
                </c:pt>
                <c:pt idx="3">
                  <c:v>5.102455</c:v>
                </c:pt>
                <c:pt idx="4">
                  <c:v>3.281945</c:v>
                </c:pt>
                <c:pt idx="5">
                  <c:v>3.282708</c:v>
                </c:pt>
              </c:numCache>
            </c:numRef>
          </c:xVal>
          <c:yVal>
            <c:numRef>
              <c:f>'Table 4'!$D$5:$D$10</c:f>
              <c:numCache>
                <c:formatCode>0.00</c:formatCode>
                <c:ptCount val="6"/>
                <c:pt idx="0">
                  <c:v>0.031</c:v>
                </c:pt>
                <c:pt idx="1">
                  <c:v>0.028</c:v>
                </c:pt>
                <c:pt idx="2">
                  <c:v>0.0355</c:v>
                </c:pt>
                <c:pt idx="3">
                  <c:v>0.05</c:v>
                </c:pt>
                <c:pt idx="4">
                  <c:v>0.031</c:v>
                </c:pt>
                <c:pt idx="5">
                  <c:v>0.01</c:v>
                </c:pt>
              </c:numCache>
            </c:numRef>
          </c:yVal>
          <c:smooth val="0"/>
        </c:ser>
        <c:axId val="87140858"/>
        <c:axId val="40619721"/>
      </c:scatterChart>
      <c:valAx>
        <c:axId val="87140858"/>
        <c:scaling>
          <c:orientation val="minMax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Genome size[Mbp]</a:t>
                </a:r>
              </a:p>
            </c:rich>
          </c:tx>
          <c:layout>
            <c:manualLayout>
              <c:xMode val="edge"/>
              <c:yMode val="edge"/>
              <c:x val="0.434476866456362"/>
              <c:y val="0.827517627915386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619721"/>
        <c:crossesAt val="0"/>
        <c:crossBetween val="midCat"/>
      </c:valAx>
      <c:valAx>
        <c:axId val="40619721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mg DNA/mg DW</a:t>
                </a:r>
              </a:p>
            </c:rich>
          </c:tx>
          <c:layout>
            <c:manualLayout>
              <c:xMode val="edge"/>
              <c:yMode val="edge"/>
              <c:x val="0.0163643533123028"/>
              <c:y val="0.173747966009763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140858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583560</xdr:colOff>
      <xdr:row>1</xdr:row>
      <xdr:rowOff>142920</xdr:rowOff>
    </xdr:from>
    <xdr:to>
      <xdr:col>16</xdr:col>
      <xdr:colOff>20160</xdr:colOff>
      <xdr:row>11</xdr:row>
      <xdr:rowOff>190440</xdr:rowOff>
    </xdr:to>
    <xdr:graphicFrame>
      <xdr:nvGraphicFramePr>
        <xdr:cNvPr id="1" name="1 Gráfico"/>
        <xdr:cNvGraphicFramePr/>
      </xdr:nvGraphicFramePr>
      <xdr:xfrm>
        <a:off x="11180520" y="399960"/>
        <a:ext cx="5477400" cy="19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23.78"/>
    <col collapsed="false" customWidth="true" hidden="false" outlineLevel="0" max="3" min="2" style="1" width="8.31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10" customFormat="false" ht="15" hidden="false" customHeight="false" outlineLevel="0" collapsed="false">
      <c r="A10" s="4" t="s">
        <v>16</v>
      </c>
    </row>
    <row r="11" customFormat="false" ht="15" hidden="false" customHeight="false" outlineLevel="0" collapsed="false">
      <c r="A11" s="1" t="n">
        <v>1</v>
      </c>
      <c r="B11" s="5" t="s">
        <v>17</v>
      </c>
    </row>
    <row r="12" customFormat="false" ht="15" hidden="false" customHeight="false" outlineLevel="0" collapsed="false">
      <c r="A12" s="1" t="n">
        <v>2</v>
      </c>
      <c r="B12" s="5" t="s">
        <v>18</v>
      </c>
    </row>
    <row r="13" customFormat="false" ht="15" hidden="false" customHeight="false" outlineLevel="0" collapsed="false">
      <c r="A13" s="1" t="n">
        <v>3</v>
      </c>
      <c r="B13" s="5" t="s">
        <v>19</v>
      </c>
    </row>
    <row r="14" customFormat="false" ht="15" hidden="false" customHeight="false" outlineLevel="0" collapsed="false">
      <c r="A14" s="6" t="n">
        <f aca="false">A13+1</f>
        <v>4</v>
      </c>
      <c r="B14" s="5" t="s">
        <v>20</v>
      </c>
    </row>
    <row r="15" customFormat="false" ht="15" hidden="false" customHeight="false" outlineLevel="0" collapsed="false">
      <c r="A15" s="6" t="n">
        <f aca="false">A14+1</f>
        <v>5</v>
      </c>
      <c r="B15" s="5" t="s">
        <v>21</v>
      </c>
    </row>
    <row r="16" customFormat="false" ht="15" hidden="false" customHeight="false" outlineLevel="0" collapsed="false">
      <c r="A16" s="6" t="n">
        <f aca="false">A15+1</f>
        <v>6</v>
      </c>
      <c r="B16" s="5" t="s">
        <v>22</v>
      </c>
    </row>
    <row r="17" customFormat="false" ht="15" hidden="false" customHeight="false" outlineLevel="0" collapsed="false">
      <c r="A17" s="6" t="n">
        <f aca="false">A16+1</f>
        <v>7</v>
      </c>
      <c r="B17" s="5" t="s">
        <v>23</v>
      </c>
    </row>
    <row r="18" customFormat="false" ht="15" hidden="false" customHeight="false" outlineLevel="0" collapsed="false">
      <c r="A18" s="6" t="n">
        <f aca="false">A17+1</f>
        <v>8</v>
      </c>
      <c r="B18" s="5" t="s">
        <v>24</v>
      </c>
    </row>
    <row r="19" customFormat="false" ht="15" hidden="false" customHeight="false" outlineLevel="0" collapsed="false">
      <c r="A19" s="6" t="n">
        <f aca="false">A18+1</f>
        <v>9</v>
      </c>
      <c r="B19" s="5" t="s">
        <v>25</v>
      </c>
    </row>
    <row r="20" customFormat="false" ht="15" hidden="false" customHeight="false" outlineLevel="0" collapsed="false">
      <c r="A20" s="6" t="n">
        <f aca="false">A19+1</f>
        <v>10</v>
      </c>
      <c r="B20" s="5" t="s">
        <v>26</v>
      </c>
    </row>
    <row r="21" customFormat="false" ht="15" hidden="false" customHeight="false" outlineLevel="0" collapsed="false">
      <c r="A21" s="6" t="n">
        <f aca="false">A20+1</f>
        <v>11</v>
      </c>
      <c r="B21" s="5" t="s">
        <v>27</v>
      </c>
    </row>
    <row r="22" customFormat="false" ht="15" hidden="false" customHeight="false" outlineLevel="0" collapsed="false">
      <c r="A22" s="6" t="n">
        <f aca="false">A21+1</f>
        <v>12</v>
      </c>
      <c r="B22" s="5" t="s">
        <v>28</v>
      </c>
    </row>
    <row r="23" customFormat="false" ht="15" hidden="false" customHeight="false" outlineLevel="0" collapsed="false">
      <c r="A23" s="6" t="n">
        <f aca="false">A22+1</f>
        <v>13</v>
      </c>
      <c r="B23" s="5" t="s">
        <v>29</v>
      </c>
    </row>
    <row r="24" customFormat="false" ht="15" hidden="false" customHeight="false" outlineLevel="0" collapsed="false">
      <c r="A24" s="6" t="n">
        <f aca="false">A23+1</f>
        <v>14</v>
      </c>
      <c r="B24" s="5" t="s">
        <v>30</v>
      </c>
    </row>
    <row r="25" customFormat="false" ht="15" hidden="false" customHeight="false" outlineLevel="0" collapsed="false">
      <c r="A25" s="6" t="n">
        <f aca="false">A24+1</f>
        <v>15</v>
      </c>
      <c r="B25" s="5" t="s">
        <v>31</v>
      </c>
    </row>
    <row r="26" customFormat="false" ht="15" hidden="false" customHeight="false" outlineLevel="0" collapsed="false">
      <c r="A26" s="6" t="n">
        <f aca="false">A25+1</f>
        <v>16</v>
      </c>
      <c r="B26" s="5" t="s">
        <v>32</v>
      </c>
      <c r="C26" s="5"/>
    </row>
    <row r="27" customFormat="false" ht="15" hidden="false" customHeight="false" outlineLevel="0" collapsed="false">
      <c r="A27" s="6" t="n">
        <f aca="false">A26+1</f>
        <v>17</v>
      </c>
      <c r="B27" s="5" t="s">
        <v>33</v>
      </c>
    </row>
    <row r="28" customFormat="false" ht="15" hidden="false" customHeight="false" outlineLevel="0" collapsed="false">
      <c r="A28" s="6" t="n">
        <f aca="false">A27+1</f>
        <v>18</v>
      </c>
      <c r="B28" s="5" t="s">
        <v>34</v>
      </c>
    </row>
    <row r="29" customFormat="false" ht="15" hidden="false" customHeight="false" outlineLevel="0" collapsed="false">
      <c r="A29" s="6" t="n">
        <f aca="false">A28+1</f>
        <v>19</v>
      </c>
      <c r="B29" s="5" t="s">
        <v>35</v>
      </c>
    </row>
    <row r="30" customFormat="false" ht="15" hidden="false" customHeight="false" outlineLevel="0" collapsed="false">
      <c r="A30" s="6" t="n">
        <f aca="false">A29+1</f>
        <v>20</v>
      </c>
      <c r="B30" s="5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8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A149" activeCellId="0" sqref="A14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7.41"/>
    <col collapsed="false" customWidth="true" hidden="false" outlineLevel="0" max="2" min="2" style="1" width="61.34"/>
    <col collapsed="false" customWidth="true" hidden="false" outlineLevel="0" max="3" min="3" style="1" width="46.66"/>
    <col collapsed="false" customWidth="true" hidden="false" outlineLevel="0" max="4" min="4" style="7" width="14.28"/>
    <col collapsed="false" customWidth="true" hidden="false" outlineLevel="0" max="5" min="5" style="1" width="13.77"/>
    <col collapsed="false" customWidth="true" hidden="false" outlineLevel="0" max="6" min="6" style="7" width="10.65"/>
    <col collapsed="false" customWidth="true" hidden="false" outlineLevel="0" max="7" min="7" style="1" width="20.79"/>
    <col collapsed="false" customWidth="true" hidden="false" outlineLevel="0" max="8" min="8" style="1" width="23.65"/>
    <col collapsed="false" customWidth="true" hidden="false" outlineLevel="0" max="9" min="9" style="1" width="20.79"/>
    <col collapsed="false" customWidth="true" hidden="false" outlineLevel="0" max="10" min="10" style="1" width="16.75"/>
    <col collapsed="false" customWidth="true" hidden="false" outlineLevel="0" max="12" min="12" style="0" width="10.91"/>
  </cols>
  <sheetData>
    <row r="1" customFormat="false" ht="35.25" hidden="false" customHeight="true" outlineLevel="0" collapsed="false">
      <c r="A1" s="8"/>
      <c r="B1" s="8"/>
      <c r="C1" s="8"/>
      <c r="D1" s="9"/>
      <c r="E1" s="8"/>
      <c r="F1" s="9"/>
      <c r="G1" s="8"/>
      <c r="H1" s="8"/>
      <c r="I1" s="8"/>
      <c r="J1" s="8"/>
      <c r="K1" s="10" t="s">
        <v>37</v>
      </c>
      <c r="L1" s="10"/>
      <c r="M1" s="10" t="s">
        <v>38</v>
      </c>
      <c r="N1" s="10"/>
      <c r="O1" s="10" t="s">
        <v>39</v>
      </c>
      <c r="P1" s="10"/>
    </row>
    <row r="2" customFormat="false" ht="30" hidden="false" customHeight="false" outlineLevel="0" collapsed="false">
      <c r="A2" s="11" t="s">
        <v>40</v>
      </c>
      <c r="B2" s="11" t="s">
        <v>41</v>
      </c>
      <c r="C2" s="11" t="s">
        <v>42</v>
      </c>
      <c r="D2" s="12" t="s">
        <v>43</v>
      </c>
      <c r="E2" s="11" t="s">
        <v>44</v>
      </c>
      <c r="F2" s="13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4" t="s">
        <v>50</v>
      </c>
      <c r="L2" s="14" t="s">
        <v>51</v>
      </c>
      <c r="M2" s="14" t="s">
        <v>50</v>
      </c>
      <c r="N2" s="14" t="s">
        <v>51</v>
      </c>
      <c r="O2" s="14" t="s">
        <v>50</v>
      </c>
      <c r="P2" s="14" t="s">
        <v>51</v>
      </c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7" t="n">
        <v>3</v>
      </c>
      <c r="E3" s="3" t="s">
        <v>55</v>
      </c>
      <c r="F3" s="7" t="n">
        <v>238956</v>
      </c>
      <c r="G3" s="3" t="s">
        <v>56</v>
      </c>
      <c r="H3" s="3" t="s">
        <v>57</v>
      </c>
      <c r="I3" s="3" t="s">
        <v>58</v>
      </c>
      <c r="J3" s="3" t="s">
        <v>59</v>
      </c>
      <c r="K3" s="0" t="n">
        <v>-1000</v>
      </c>
      <c r="L3" s="0" t="n">
        <v>1000</v>
      </c>
      <c r="M3" s="0" t="n">
        <v>-1000</v>
      </c>
      <c r="N3" s="0" t="n">
        <v>1000</v>
      </c>
      <c r="O3" s="0" t="n">
        <v>-1000</v>
      </c>
      <c r="P3" s="0" t="n">
        <v>1000</v>
      </c>
    </row>
    <row r="4" customFormat="false" ht="15" hidden="false" customHeight="false" outlineLevel="0" collapsed="false">
      <c r="A4" s="3" t="s">
        <v>60</v>
      </c>
      <c r="B4" s="3" t="s">
        <v>53</v>
      </c>
      <c r="C4" s="3" t="s">
        <v>61</v>
      </c>
      <c r="D4" s="7" t="n">
        <v>3</v>
      </c>
      <c r="E4" s="3" t="s">
        <v>55</v>
      </c>
      <c r="F4" s="7" t="n">
        <v>238956</v>
      </c>
      <c r="G4" s="3" t="s">
        <v>56</v>
      </c>
      <c r="H4" s="3" t="s">
        <v>57</v>
      </c>
      <c r="I4" s="3" t="s">
        <v>58</v>
      </c>
      <c r="J4" s="3" t="s">
        <v>59</v>
      </c>
      <c r="K4" s="0" t="n">
        <v>-1000</v>
      </c>
      <c r="L4" s="0" t="n">
        <v>1000</v>
      </c>
      <c r="M4" s="0" t="n">
        <v>-1000</v>
      </c>
      <c r="N4" s="0" t="n">
        <v>1000</v>
      </c>
      <c r="O4" s="0" t="n">
        <v>-1000</v>
      </c>
      <c r="P4" s="0" t="n">
        <v>1000</v>
      </c>
    </row>
    <row r="5" customFormat="false" ht="15" hidden="false" customHeight="false" outlineLevel="0" collapsed="false">
      <c r="A5" s="3" t="s">
        <v>62</v>
      </c>
      <c r="B5" s="3" t="s">
        <v>53</v>
      </c>
      <c r="C5" s="3" t="s">
        <v>63</v>
      </c>
      <c r="D5" s="7" t="n">
        <v>3</v>
      </c>
      <c r="E5" s="3" t="s">
        <v>55</v>
      </c>
      <c r="F5" s="7" t="n">
        <v>238956</v>
      </c>
      <c r="G5" s="3" t="s">
        <v>56</v>
      </c>
      <c r="H5" s="3" t="s">
        <v>57</v>
      </c>
      <c r="I5" s="3" t="s">
        <v>58</v>
      </c>
      <c r="J5" s="3" t="s">
        <v>59</v>
      </c>
      <c r="K5" s="0" t="n">
        <v>-1000</v>
      </c>
      <c r="L5" s="0" t="n">
        <v>1000</v>
      </c>
      <c r="M5" s="0" t="n">
        <v>-1000</v>
      </c>
      <c r="N5" s="0" t="n">
        <v>1000</v>
      </c>
      <c r="O5" s="0" t="n">
        <v>-1000</v>
      </c>
      <c r="P5" s="0" t="n">
        <v>1000</v>
      </c>
    </row>
    <row r="6" customFormat="false" ht="15" hidden="false" customHeight="false" outlineLevel="0" collapsed="false">
      <c r="A6" s="3" t="s">
        <v>64</v>
      </c>
      <c r="B6" s="3" t="s">
        <v>53</v>
      </c>
      <c r="C6" s="3" t="s">
        <v>65</v>
      </c>
      <c r="D6" s="7" t="n">
        <v>3</v>
      </c>
      <c r="E6" s="3" t="s">
        <v>55</v>
      </c>
      <c r="F6" s="7" t="n">
        <v>238956</v>
      </c>
      <c r="G6" s="3" t="s">
        <v>56</v>
      </c>
      <c r="H6" s="3" t="s">
        <v>57</v>
      </c>
      <c r="I6" s="3" t="s">
        <v>58</v>
      </c>
      <c r="J6" s="3" t="s">
        <v>59</v>
      </c>
      <c r="K6" s="0" t="n">
        <v>-1000</v>
      </c>
      <c r="L6" s="0" t="n">
        <v>1000</v>
      </c>
      <c r="M6" s="0" t="n">
        <v>-1000</v>
      </c>
      <c r="N6" s="0" t="n">
        <v>1000</v>
      </c>
      <c r="O6" s="0" t="n">
        <v>-1000</v>
      </c>
      <c r="P6" s="0" t="n">
        <v>1000</v>
      </c>
    </row>
    <row r="7" customFormat="false" ht="15" hidden="false" customHeight="false" outlineLevel="0" collapsed="false">
      <c r="A7" s="3" t="s">
        <v>66</v>
      </c>
      <c r="B7" s="3" t="s">
        <v>53</v>
      </c>
      <c r="C7" s="3" t="s">
        <v>67</v>
      </c>
      <c r="D7" s="7" t="n">
        <v>3</v>
      </c>
      <c r="E7" s="3" t="s">
        <v>55</v>
      </c>
      <c r="F7" s="7" t="n">
        <v>238956</v>
      </c>
      <c r="G7" s="3" t="s">
        <v>56</v>
      </c>
      <c r="H7" s="3" t="s">
        <v>57</v>
      </c>
      <c r="I7" s="3" t="s">
        <v>58</v>
      </c>
      <c r="J7" s="3" t="s">
        <v>59</v>
      </c>
      <c r="K7" s="0" t="n">
        <v>-1000</v>
      </c>
      <c r="L7" s="0" t="n">
        <v>1000</v>
      </c>
      <c r="M7" s="0" t="n">
        <v>-1000</v>
      </c>
      <c r="N7" s="0" t="n">
        <v>1000</v>
      </c>
      <c r="O7" s="0" t="n">
        <v>-1000</v>
      </c>
      <c r="P7" s="0" t="n">
        <v>1000</v>
      </c>
    </row>
    <row r="8" customFormat="false" ht="15" hidden="false" customHeight="false" outlineLevel="0" collapsed="false">
      <c r="A8" s="3" t="s">
        <v>68</v>
      </c>
      <c r="B8" s="3" t="s">
        <v>53</v>
      </c>
      <c r="C8" s="3" t="s">
        <v>69</v>
      </c>
      <c r="D8" s="7" t="n">
        <v>3</v>
      </c>
      <c r="E8" s="3" t="s">
        <v>55</v>
      </c>
      <c r="F8" s="7" t="n">
        <v>238956</v>
      </c>
      <c r="G8" s="3" t="s">
        <v>56</v>
      </c>
      <c r="H8" s="3" t="s">
        <v>57</v>
      </c>
      <c r="I8" s="3" t="s">
        <v>58</v>
      </c>
      <c r="J8" s="3" t="s">
        <v>59</v>
      </c>
      <c r="K8" s="0" t="n">
        <v>-1000</v>
      </c>
      <c r="L8" s="0" t="n">
        <v>1000</v>
      </c>
      <c r="M8" s="0" t="n">
        <v>-1000</v>
      </c>
      <c r="N8" s="0" t="n">
        <v>1000</v>
      </c>
      <c r="O8" s="0" t="n">
        <v>-1000</v>
      </c>
      <c r="P8" s="0" t="n">
        <v>1000</v>
      </c>
    </row>
    <row r="9" customFormat="false" ht="15" hidden="false" customHeight="false" outlineLevel="0" collapsed="false">
      <c r="A9" s="3" t="s">
        <v>70</v>
      </c>
      <c r="B9" s="3" t="s">
        <v>53</v>
      </c>
      <c r="C9" s="3" t="s">
        <v>71</v>
      </c>
      <c r="D9" s="7" t="n">
        <v>3</v>
      </c>
      <c r="E9" s="3" t="s">
        <v>55</v>
      </c>
      <c r="F9" s="7" t="n">
        <v>238956</v>
      </c>
      <c r="G9" s="3" t="s">
        <v>56</v>
      </c>
      <c r="H9" s="3" t="s">
        <v>57</v>
      </c>
      <c r="I9" s="3" t="s">
        <v>58</v>
      </c>
      <c r="J9" s="3" t="s">
        <v>59</v>
      </c>
      <c r="K9" s="0" t="n">
        <v>-1000</v>
      </c>
      <c r="L9" s="0" t="n">
        <v>1000</v>
      </c>
      <c r="M9" s="0" t="n">
        <v>-1000</v>
      </c>
      <c r="N9" s="0" t="n">
        <v>1000</v>
      </c>
      <c r="O9" s="0" t="n">
        <v>-1000</v>
      </c>
      <c r="P9" s="0" t="n">
        <v>1000</v>
      </c>
    </row>
    <row r="10" customFormat="false" ht="15" hidden="false" customHeight="false" outlineLevel="0" collapsed="false">
      <c r="A10" s="3" t="s">
        <v>72</v>
      </c>
      <c r="B10" s="3" t="s">
        <v>53</v>
      </c>
      <c r="C10" s="3" t="s">
        <v>73</v>
      </c>
      <c r="D10" s="7" t="n">
        <v>3</v>
      </c>
      <c r="E10" s="3" t="s">
        <v>55</v>
      </c>
      <c r="F10" s="7" t="n">
        <v>238956</v>
      </c>
      <c r="G10" s="3" t="s">
        <v>56</v>
      </c>
      <c r="H10" s="3" t="s">
        <v>57</v>
      </c>
      <c r="I10" s="3" t="s">
        <v>58</v>
      </c>
      <c r="J10" s="3" t="s">
        <v>59</v>
      </c>
      <c r="K10" s="0" t="n">
        <v>-1000</v>
      </c>
      <c r="L10" s="0" t="n">
        <v>1000</v>
      </c>
      <c r="M10" s="0" t="n">
        <v>-1000</v>
      </c>
      <c r="N10" s="0" t="n">
        <v>1000</v>
      </c>
      <c r="O10" s="0" t="n">
        <v>-1000</v>
      </c>
      <c r="P10" s="0" t="n">
        <v>1000</v>
      </c>
    </row>
    <row r="11" customFormat="false" ht="15" hidden="false" customHeight="false" outlineLevel="0" collapsed="false">
      <c r="A11" s="3" t="s">
        <v>74</v>
      </c>
      <c r="B11" s="3" t="s">
        <v>53</v>
      </c>
      <c r="C11" s="3" t="s">
        <v>75</v>
      </c>
      <c r="D11" s="7" t="n">
        <v>3</v>
      </c>
      <c r="E11" s="3" t="s">
        <v>55</v>
      </c>
      <c r="F11" s="7" t="n">
        <v>238956</v>
      </c>
      <c r="G11" s="3" t="s">
        <v>56</v>
      </c>
      <c r="H11" s="3" t="s">
        <v>57</v>
      </c>
      <c r="I11" s="3" t="s">
        <v>58</v>
      </c>
      <c r="J11" s="3" t="s">
        <v>59</v>
      </c>
      <c r="K11" s="0" t="n">
        <v>-1000</v>
      </c>
      <c r="L11" s="0" t="n">
        <v>1000</v>
      </c>
      <c r="M11" s="0" t="n">
        <v>-1000</v>
      </c>
      <c r="N11" s="0" t="n">
        <v>1000</v>
      </c>
      <c r="O11" s="0" t="n">
        <v>-1000</v>
      </c>
      <c r="P11" s="0" t="n">
        <v>1000</v>
      </c>
    </row>
    <row r="12" customFormat="false" ht="15" hidden="false" customHeight="false" outlineLevel="0" collapsed="false">
      <c r="A12" s="3" t="s">
        <v>76</v>
      </c>
      <c r="B12" s="3" t="s">
        <v>53</v>
      </c>
      <c r="C12" s="3" t="s">
        <v>77</v>
      </c>
      <c r="D12" s="7" t="n">
        <v>3</v>
      </c>
      <c r="E12" s="3" t="s">
        <v>55</v>
      </c>
      <c r="F12" s="7" t="n">
        <v>238956</v>
      </c>
      <c r="G12" s="3" t="s">
        <v>56</v>
      </c>
      <c r="H12" s="3" t="s">
        <v>57</v>
      </c>
      <c r="I12" s="3" t="s">
        <v>58</v>
      </c>
      <c r="J12" s="3" t="s">
        <v>59</v>
      </c>
      <c r="K12" s="0" t="n">
        <v>-1000</v>
      </c>
      <c r="L12" s="0" t="n">
        <v>1000</v>
      </c>
      <c r="M12" s="0" t="n">
        <v>-1000</v>
      </c>
      <c r="N12" s="0" t="n">
        <v>1000</v>
      </c>
      <c r="O12" s="0" t="n">
        <v>-1000</v>
      </c>
      <c r="P12" s="0" t="n">
        <v>1000</v>
      </c>
    </row>
    <row r="13" customFormat="false" ht="15" hidden="false" customHeight="false" outlineLevel="0" collapsed="false">
      <c r="A13" s="3" t="s">
        <v>78</v>
      </c>
      <c r="B13" s="3" t="s">
        <v>53</v>
      </c>
      <c r="C13" s="3" t="s">
        <v>79</v>
      </c>
      <c r="D13" s="7" t="n">
        <v>3</v>
      </c>
      <c r="E13" s="3" t="s">
        <v>55</v>
      </c>
      <c r="F13" s="7" t="n">
        <v>238956</v>
      </c>
      <c r="G13" s="3" t="s">
        <v>56</v>
      </c>
      <c r="H13" s="3" t="s">
        <v>57</v>
      </c>
      <c r="I13" s="3" t="s">
        <v>58</v>
      </c>
      <c r="J13" s="3" t="s">
        <v>59</v>
      </c>
      <c r="K13" s="0" t="n">
        <v>-1000</v>
      </c>
      <c r="L13" s="0" t="n">
        <v>1000</v>
      </c>
      <c r="M13" s="0" t="n">
        <v>-1000</v>
      </c>
      <c r="N13" s="0" t="n">
        <v>1000</v>
      </c>
      <c r="O13" s="0" t="n">
        <v>-1000</v>
      </c>
      <c r="P13" s="0" t="n">
        <v>1000</v>
      </c>
    </row>
    <row r="14" customFormat="false" ht="15" hidden="false" customHeight="false" outlineLevel="0" collapsed="false">
      <c r="A14" s="3" t="s">
        <v>80</v>
      </c>
      <c r="B14" s="3" t="s">
        <v>53</v>
      </c>
      <c r="C14" s="3" t="s">
        <v>81</v>
      </c>
      <c r="D14" s="7" t="n">
        <v>3</v>
      </c>
      <c r="E14" s="3" t="s">
        <v>55</v>
      </c>
      <c r="F14" s="7" t="n">
        <v>238956</v>
      </c>
      <c r="G14" s="3" t="s">
        <v>56</v>
      </c>
      <c r="H14" s="3" t="s">
        <v>57</v>
      </c>
      <c r="I14" s="3" t="s">
        <v>58</v>
      </c>
      <c r="J14" s="3" t="s">
        <v>59</v>
      </c>
      <c r="K14" s="0" t="n">
        <v>-1000</v>
      </c>
      <c r="L14" s="0" t="n">
        <v>1000</v>
      </c>
      <c r="M14" s="0" t="n">
        <v>-1000</v>
      </c>
      <c r="N14" s="0" t="n">
        <v>1000</v>
      </c>
      <c r="O14" s="0" t="n">
        <v>-1000</v>
      </c>
      <c r="P14" s="0" t="n">
        <v>1000</v>
      </c>
    </row>
    <row r="15" customFormat="false" ht="15" hidden="false" customHeight="false" outlineLevel="0" collapsed="false">
      <c r="A15" s="3" t="s">
        <v>82</v>
      </c>
      <c r="B15" s="3" t="s">
        <v>53</v>
      </c>
      <c r="C15" s="3" t="s">
        <v>83</v>
      </c>
      <c r="D15" s="7" t="n">
        <v>3</v>
      </c>
      <c r="E15" s="3" t="s">
        <v>55</v>
      </c>
      <c r="F15" s="7" t="n">
        <v>238956</v>
      </c>
      <c r="G15" s="3" t="s">
        <v>56</v>
      </c>
      <c r="H15" s="3" t="s">
        <v>57</v>
      </c>
      <c r="I15" s="3" t="s">
        <v>58</v>
      </c>
      <c r="J15" s="3" t="s">
        <v>59</v>
      </c>
      <c r="K15" s="0" t="n">
        <v>-1000</v>
      </c>
      <c r="L15" s="0" t="n">
        <v>1000</v>
      </c>
      <c r="M15" s="0" t="n">
        <v>-1000</v>
      </c>
      <c r="N15" s="0" t="n">
        <v>1000</v>
      </c>
      <c r="O15" s="0" t="n">
        <v>-1000</v>
      </c>
      <c r="P15" s="0" t="n">
        <v>1000</v>
      </c>
    </row>
    <row r="16" customFormat="false" ht="15" hidden="false" customHeight="false" outlineLevel="0" collapsed="false">
      <c r="A16" s="3" t="s">
        <v>84</v>
      </c>
      <c r="B16" s="3" t="s">
        <v>53</v>
      </c>
      <c r="C16" s="3" t="s">
        <v>85</v>
      </c>
      <c r="D16" s="7" t="n">
        <v>3</v>
      </c>
      <c r="E16" s="3" t="s">
        <v>55</v>
      </c>
      <c r="F16" s="7" t="n">
        <v>238956</v>
      </c>
      <c r="G16" s="3" t="s">
        <v>56</v>
      </c>
      <c r="H16" s="3" t="s">
        <v>57</v>
      </c>
      <c r="I16" s="3" t="s">
        <v>58</v>
      </c>
      <c r="J16" s="3" t="s">
        <v>59</v>
      </c>
      <c r="K16" s="0" t="n">
        <v>-1000</v>
      </c>
      <c r="L16" s="0" t="n">
        <v>1000</v>
      </c>
      <c r="M16" s="0" t="n">
        <v>-1000</v>
      </c>
      <c r="N16" s="0" t="n">
        <v>1000</v>
      </c>
      <c r="O16" s="0" t="n">
        <v>-1000</v>
      </c>
      <c r="P16" s="0" t="n">
        <v>1000</v>
      </c>
    </row>
    <row r="17" customFormat="false" ht="15" hidden="false" customHeight="false" outlineLevel="0" collapsed="false">
      <c r="A17" s="3" t="s">
        <v>86</v>
      </c>
      <c r="B17" s="3" t="s">
        <v>53</v>
      </c>
      <c r="C17" s="3" t="s">
        <v>87</v>
      </c>
      <c r="D17" s="7" t="n">
        <v>3</v>
      </c>
      <c r="E17" s="3" t="s">
        <v>55</v>
      </c>
      <c r="F17" s="7" t="n">
        <v>238956</v>
      </c>
      <c r="G17" s="3" t="s">
        <v>56</v>
      </c>
      <c r="H17" s="3" t="s">
        <v>57</v>
      </c>
      <c r="I17" s="3" t="s">
        <v>58</v>
      </c>
      <c r="J17" s="3" t="s">
        <v>59</v>
      </c>
      <c r="K17" s="0" t="n">
        <v>-1000</v>
      </c>
      <c r="L17" s="0" t="n">
        <v>1000</v>
      </c>
      <c r="M17" s="0" t="n">
        <v>-1000</v>
      </c>
      <c r="N17" s="0" t="n">
        <v>1000</v>
      </c>
      <c r="O17" s="0" t="n">
        <v>-1000</v>
      </c>
      <c r="P17" s="0" t="n">
        <v>1000</v>
      </c>
    </row>
    <row r="18" customFormat="false" ht="15" hidden="false" customHeight="false" outlineLevel="0" collapsed="false">
      <c r="A18" s="3" t="s">
        <v>88</v>
      </c>
      <c r="B18" s="3" t="s">
        <v>53</v>
      </c>
      <c r="C18" s="3" t="s">
        <v>89</v>
      </c>
      <c r="D18" s="7" t="n">
        <v>3</v>
      </c>
      <c r="E18" s="3" t="s">
        <v>55</v>
      </c>
      <c r="F18" s="7" t="n">
        <v>238956</v>
      </c>
      <c r="G18" s="3" t="s">
        <v>56</v>
      </c>
      <c r="H18" s="3" t="s">
        <v>57</v>
      </c>
      <c r="I18" s="3" t="s">
        <v>58</v>
      </c>
      <c r="J18" s="3" t="s">
        <v>59</v>
      </c>
      <c r="K18" s="0" t="n">
        <v>-1000</v>
      </c>
      <c r="L18" s="0" t="n">
        <v>1000</v>
      </c>
      <c r="M18" s="0" t="n">
        <v>-1000</v>
      </c>
      <c r="N18" s="0" t="n">
        <v>1000</v>
      </c>
      <c r="O18" s="0" t="n">
        <v>-1000</v>
      </c>
      <c r="P18" s="0" t="n">
        <v>1000</v>
      </c>
    </row>
    <row r="19" customFormat="false" ht="15" hidden="false" customHeight="false" outlineLevel="0" collapsed="false">
      <c r="A19" s="3" t="s">
        <v>90</v>
      </c>
      <c r="B19" s="3" t="s">
        <v>53</v>
      </c>
      <c r="C19" s="3" t="s">
        <v>91</v>
      </c>
      <c r="D19" s="7" t="n">
        <v>3</v>
      </c>
      <c r="E19" s="3" t="s">
        <v>55</v>
      </c>
      <c r="F19" s="7" t="n">
        <v>238956</v>
      </c>
      <c r="G19" s="3" t="s">
        <v>56</v>
      </c>
      <c r="H19" s="3" t="s">
        <v>57</v>
      </c>
      <c r="I19" s="3" t="s">
        <v>58</v>
      </c>
      <c r="J19" s="3" t="s">
        <v>59</v>
      </c>
      <c r="K19" s="0" t="n">
        <v>-1000</v>
      </c>
      <c r="L19" s="0" t="n">
        <v>1000</v>
      </c>
      <c r="M19" s="0" t="n">
        <v>-1000</v>
      </c>
      <c r="N19" s="0" t="n">
        <v>1000</v>
      </c>
      <c r="O19" s="0" t="n">
        <v>-1000</v>
      </c>
      <c r="P19" s="0" t="n">
        <v>1000</v>
      </c>
    </row>
    <row r="20" customFormat="false" ht="15" hidden="false" customHeight="false" outlineLevel="0" collapsed="false">
      <c r="A20" s="3" t="s">
        <v>92</v>
      </c>
      <c r="B20" s="3" t="s">
        <v>93</v>
      </c>
      <c r="C20" s="3" t="s">
        <v>94</v>
      </c>
      <c r="D20" s="7" t="n">
        <v>3</v>
      </c>
      <c r="E20" s="3" t="s">
        <v>95</v>
      </c>
      <c r="F20" s="7" t="n">
        <v>238956</v>
      </c>
      <c r="G20" s="3" t="s">
        <v>56</v>
      </c>
      <c r="H20" s="3" t="s">
        <v>96</v>
      </c>
      <c r="I20" s="3" t="s">
        <v>97</v>
      </c>
      <c r="J20" s="3" t="s">
        <v>98</v>
      </c>
      <c r="K20" s="0" t="n">
        <v>0</v>
      </c>
      <c r="L20" s="0" t="n">
        <v>1000</v>
      </c>
      <c r="M20" s="0" t="n">
        <v>0</v>
      </c>
      <c r="N20" s="0" t="n">
        <v>1000</v>
      </c>
      <c r="O20" s="0" t="n">
        <v>0</v>
      </c>
      <c r="P20" s="0" t="n">
        <v>1000</v>
      </c>
    </row>
    <row r="21" customFormat="false" ht="15" hidden="false" customHeight="false" outlineLevel="0" collapsed="false">
      <c r="A21" s="3" t="s">
        <v>99</v>
      </c>
      <c r="B21" s="3" t="s">
        <v>93</v>
      </c>
      <c r="C21" s="3" t="s">
        <v>100</v>
      </c>
      <c r="D21" s="7" t="n">
        <v>3</v>
      </c>
      <c r="E21" s="3" t="s">
        <v>95</v>
      </c>
      <c r="F21" s="7" t="n">
        <v>238956</v>
      </c>
      <c r="G21" s="3" t="s">
        <v>56</v>
      </c>
      <c r="H21" s="3" t="s">
        <v>96</v>
      </c>
      <c r="I21" s="3" t="s">
        <v>97</v>
      </c>
      <c r="J21" s="3" t="s">
        <v>98</v>
      </c>
      <c r="K21" s="0" t="n">
        <v>0</v>
      </c>
      <c r="L21" s="0" t="n">
        <v>1000</v>
      </c>
      <c r="M21" s="0" t="n">
        <v>0</v>
      </c>
      <c r="N21" s="0" t="n">
        <v>1000</v>
      </c>
      <c r="O21" s="0" t="n">
        <v>0</v>
      </c>
      <c r="P21" s="0" t="n">
        <v>1000</v>
      </c>
    </row>
    <row r="22" customFormat="false" ht="15" hidden="false" customHeight="false" outlineLevel="0" collapsed="false">
      <c r="A22" s="3" t="s">
        <v>101</v>
      </c>
      <c r="B22" s="3" t="s">
        <v>93</v>
      </c>
      <c r="C22" s="3" t="s">
        <v>102</v>
      </c>
      <c r="D22" s="7" t="n">
        <v>3</v>
      </c>
      <c r="E22" s="3" t="s">
        <v>95</v>
      </c>
      <c r="F22" s="7" t="n">
        <v>238956</v>
      </c>
      <c r="G22" s="3" t="s">
        <v>56</v>
      </c>
      <c r="H22" s="3" t="s">
        <v>96</v>
      </c>
      <c r="I22" s="3" t="s">
        <v>97</v>
      </c>
      <c r="J22" s="3" t="s">
        <v>98</v>
      </c>
      <c r="K22" s="0" t="n">
        <v>0</v>
      </c>
      <c r="L22" s="0" t="n">
        <v>1000</v>
      </c>
      <c r="M22" s="0" t="n">
        <v>0</v>
      </c>
      <c r="N22" s="0" t="n">
        <v>1000</v>
      </c>
      <c r="O22" s="0" t="n">
        <v>0</v>
      </c>
      <c r="P22" s="0" t="n">
        <v>1000</v>
      </c>
    </row>
    <row r="23" customFormat="false" ht="15" hidden="false" customHeight="false" outlineLevel="0" collapsed="false">
      <c r="A23" s="3" t="s">
        <v>103</v>
      </c>
      <c r="B23" s="3" t="s">
        <v>93</v>
      </c>
      <c r="C23" s="3" t="s">
        <v>104</v>
      </c>
      <c r="D23" s="7" t="n">
        <v>3</v>
      </c>
      <c r="E23" s="3" t="s">
        <v>95</v>
      </c>
      <c r="F23" s="7" t="n">
        <v>238956</v>
      </c>
      <c r="G23" s="3" t="s">
        <v>56</v>
      </c>
      <c r="H23" s="3" t="s">
        <v>96</v>
      </c>
      <c r="I23" s="3" t="s">
        <v>97</v>
      </c>
      <c r="J23" s="3" t="s">
        <v>98</v>
      </c>
      <c r="K23" s="0" t="n">
        <v>0</v>
      </c>
      <c r="L23" s="0" t="n">
        <v>1000</v>
      </c>
      <c r="M23" s="0" t="n">
        <v>0</v>
      </c>
      <c r="N23" s="0" t="n">
        <v>1000</v>
      </c>
      <c r="O23" s="0" t="n">
        <v>0</v>
      </c>
      <c r="P23" s="0" t="n">
        <v>1000</v>
      </c>
    </row>
    <row r="24" customFormat="false" ht="15" hidden="false" customHeight="false" outlineLevel="0" collapsed="false">
      <c r="A24" s="3" t="s">
        <v>105</v>
      </c>
      <c r="B24" s="3" t="s">
        <v>93</v>
      </c>
      <c r="C24" s="3" t="s">
        <v>106</v>
      </c>
      <c r="D24" s="7" t="n">
        <v>3</v>
      </c>
      <c r="E24" s="3" t="s">
        <v>95</v>
      </c>
      <c r="F24" s="7" t="n">
        <v>238956</v>
      </c>
      <c r="G24" s="3" t="s">
        <v>56</v>
      </c>
      <c r="H24" s="3" t="s">
        <v>96</v>
      </c>
      <c r="I24" s="3" t="s">
        <v>97</v>
      </c>
      <c r="J24" s="3" t="s">
        <v>98</v>
      </c>
      <c r="K24" s="0" t="n">
        <v>0</v>
      </c>
      <c r="L24" s="0" t="n">
        <v>1000</v>
      </c>
      <c r="M24" s="0" t="n">
        <v>0</v>
      </c>
      <c r="N24" s="0" t="n">
        <v>1000</v>
      </c>
      <c r="O24" s="0" t="n">
        <v>0</v>
      </c>
      <c r="P24" s="0" t="n">
        <v>1000</v>
      </c>
    </row>
    <row r="25" customFormat="false" ht="15" hidden="false" customHeight="false" outlineLevel="0" collapsed="false">
      <c r="A25" s="3" t="s">
        <v>107</v>
      </c>
      <c r="B25" s="3" t="s">
        <v>93</v>
      </c>
      <c r="C25" s="3" t="s">
        <v>108</v>
      </c>
      <c r="D25" s="7" t="n">
        <v>3</v>
      </c>
      <c r="E25" s="3" t="s">
        <v>95</v>
      </c>
      <c r="F25" s="7" t="n">
        <v>238956</v>
      </c>
      <c r="G25" s="3" t="s">
        <v>56</v>
      </c>
      <c r="H25" s="3" t="s">
        <v>96</v>
      </c>
      <c r="I25" s="3" t="s">
        <v>97</v>
      </c>
      <c r="J25" s="3" t="s">
        <v>98</v>
      </c>
      <c r="K25" s="0" t="n">
        <v>0</v>
      </c>
      <c r="L25" s="0" t="n">
        <v>1000</v>
      </c>
      <c r="M25" s="0" t="n">
        <v>0</v>
      </c>
      <c r="N25" s="0" t="n">
        <v>1000</v>
      </c>
      <c r="O25" s="0" t="n">
        <v>0</v>
      </c>
      <c r="P25" s="0" t="n">
        <v>1000</v>
      </c>
    </row>
    <row r="26" customFormat="false" ht="15" hidden="false" customHeight="false" outlineLevel="0" collapsed="false">
      <c r="A26" s="3" t="s">
        <v>109</v>
      </c>
      <c r="B26" s="3" t="s">
        <v>93</v>
      </c>
      <c r="C26" s="3" t="s">
        <v>110</v>
      </c>
      <c r="D26" s="7" t="n">
        <v>3</v>
      </c>
      <c r="E26" s="3" t="s">
        <v>95</v>
      </c>
      <c r="F26" s="7" t="n">
        <v>238956</v>
      </c>
      <c r="G26" s="3" t="s">
        <v>56</v>
      </c>
      <c r="H26" s="3" t="s">
        <v>96</v>
      </c>
      <c r="I26" s="3" t="s">
        <v>97</v>
      </c>
      <c r="J26" s="3" t="s">
        <v>98</v>
      </c>
      <c r="K26" s="0" t="n">
        <v>0</v>
      </c>
      <c r="L26" s="0" t="n">
        <v>1000</v>
      </c>
      <c r="M26" s="0" t="n">
        <v>0</v>
      </c>
      <c r="N26" s="0" t="n">
        <v>1000</v>
      </c>
      <c r="O26" s="0" t="n">
        <v>0</v>
      </c>
      <c r="P26" s="0" t="n">
        <v>1000</v>
      </c>
    </row>
    <row r="27" customFormat="false" ht="15" hidden="false" customHeight="false" outlineLevel="0" collapsed="false">
      <c r="A27" s="3" t="s">
        <v>111</v>
      </c>
      <c r="B27" s="3" t="s">
        <v>93</v>
      </c>
      <c r="C27" s="3" t="s">
        <v>112</v>
      </c>
      <c r="D27" s="7" t="n">
        <v>3</v>
      </c>
      <c r="E27" s="3" t="s">
        <v>95</v>
      </c>
      <c r="F27" s="7" t="n">
        <v>238956</v>
      </c>
      <c r="G27" s="3" t="s">
        <v>56</v>
      </c>
      <c r="H27" s="3" t="s">
        <v>96</v>
      </c>
      <c r="I27" s="3" t="s">
        <v>97</v>
      </c>
      <c r="J27" s="3" t="s">
        <v>98</v>
      </c>
      <c r="K27" s="0" t="n">
        <v>0</v>
      </c>
      <c r="L27" s="0" t="n">
        <v>1000</v>
      </c>
      <c r="M27" s="0" t="n">
        <v>0</v>
      </c>
      <c r="N27" s="0" t="n">
        <v>1000</v>
      </c>
      <c r="O27" s="0" t="n">
        <v>0</v>
      </c>
      <c r="P27" s="0" t="n">
        <v>1000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 t="s">
        <v>115</v>
      </c>
      <c r="D28" s="7" t="n">
        <v>3</v>
      </c>
      <c r="E28" s="3" t="s">
        <v>116</v>
      </c>
      <c r="F28" s="7" t="n">
        <v>238956</v>
      </c>
      <c r="G28" s="3" t="s">
        <v>56</v>
      </c>
      <c r="H28" s="3" t="s">
        <v>117</v>
      </c>
      <c r="I28" s="3" t="s">
        <v>118</v>
      </c>
      <c r="J28" s="3" t="s">
        <v>119</v>
      </c>
      <c r="K28" s="0" t="n">
        <v>0</v>
      </c>
      <c r="L28" s="0" t="n">
        <v>1000</v>
      </c>
      <c r="M28" s="0" t="n">
        <v>0</v>
      </c>
      <c r="N28" s="0" t="n">
        <v>1000</v>
      </c>
      <c r="O28" s="0" t="n">
        <v>0</v>
      </c>
      <c r="P28" s="0" t="n">
        <v>1000</v>
      </c>
    </row>
    <row r="29" customFormat="false" ht="15" hidden="false" customHeight="false" outlineLevel="0" collapsed="false">
      <c r="A29" s="3" t="s">
        <v>120</v>
      </c>
      <c r="B29" s="3" t="s">
        <v>114</v>
      </c>
      <c r="C29" s="3" t="s">
        <v>121</v>
      </c>
      <c r="D29" s="7" t="n">
        <v>3</v>
      </c>
      <c r="E29" s="3" t="s">
        <v>116</v>
      </c>
      <c r="F29" s="7" t="n">
        <v>238956</v>
      </c>
      <c r="G29" s="3" t="s">
        <v>56</v>
      </c>
      <c r="H29" s="3" t="s">
        <v>117</v>
      </c>
      <c r="I29" s="3" t="s">
        <v>118</v>
      </c>
      <c r="J29" s="3" t="s">
        <v>119</v>
      </c>
      <c r="K29" s="0" t="n">
        <v>-1000</v>
      </c>
      <c r="L29" s="0" t="n">
        <v>1000</v>
      </c>
      <c r="M29" s="0" t="n">
        <v>-1000</v>
      </c>
      <c r="N29" s="0" t="n">
        <v>1000</v>
      </c>
      <c r="O29" s="0" t="n">
        <v>-1000</v>
      </c>
      <c r="P29" s="0" t="n">
        <v>1000</v>
      </c>
    </row>
    <row r="30" customFormat="false" ht="15" hidden="false" customHeight="false" outlineLevel="0" collapsed="false">
      <c r="A30" s="3" t="s">
        <v>122</v>
      </c>
      <c r="B30" s="3" t="s">
        <v>93</v>
      </c>
      <c r="C30" s="3" t="s">
        <v>123</v>
      </c>
      <c r="D30" s="7" t="n">
        <v>3</v>
      </c>
      <c r="E30" s="3" t="s">
        <v>95</v>
      </c>
      <c r="F30" s="7" t="n">
        <v>238956</v>
      </c>
      <c r="G30" s="3" t="s">
        <v>56</v>
      </c>
      <c r="H30" s="3" t="s">
        <v>96</v>
      </c>
      <c r="I30" s="3" t="s">
        <v>97</v>
      </c>
      <c r="J30" s="3" t="s">
        <v>98</v>
      </c>
      <c r="K30" s="0" t="n">
        <v>0</v>
      </c>
      <c r="L30" s="0" t="n">
        <v>1000</v>
      </c>
      <c r="M30" s="0" t="n">
        <v>0</v>
      </c>
      <c r="N30" s="0" t="n">
        <v>1000</v>
      </c>
      <c r="O30" s="0" t="n">
        <v>0</v>
      </c>
      <c r="P30" s="0" t="n">
        <v>1000</v>
      </c>
    </row>
    <row r="31" customFormat="false" ht="15" hidden="false" customHeight="false" outlineLevel="0" collapsed="false">
      <c r="A31" s="3" t="s">
        <v>124</v>
      </c>
      <c r="B31" s="3" t="s">
        <v>93</v>
      </c>
      <c r="C31" s="3" t="s">
        <v>125</v>
      </c>
      <c r="D31" s="7" t="n">
        <v>3</v>
      </c>
      <c r="E31" s="3" t="s">
        <v>95</v>
      </c>
      <c r="F31" s="7" t="n">
        <v>238956</v>
      </c>
      <c r="G31" s="3" t="s">
        <v>56</v>
      </c>
      <c r="H31" s="3" t="s">
        <v>96</v>
      </c>
      <c r="I31" s="3" t="s">
        <v>97</v>
      </c>
      <c r="J31" s="3" t="s">
        <v>98</v>
      </c>
      <c r="K31" s="0" t="n">
        <v>0</v>
      </c>
      <c r="L31" s="0" t="n">
        <v>1000</v>
      </c>
      <c r="M31" s="0" t="n">
        <v>0</v>
      </c>
      <c r="N31" s="0" t="n">
        <v>1000</v>
      </c>
      <c r="O31" s="0" t="n">
        <v>0</v>
      </c>
      <c r="P31" s="0" t="n">
        <v>1000</v>
      </c>
    </row>
    <row r="32" customFormat="false" ht="15" hidden="false" customHeight="false" outlineLevel="0" collapsed="false">
      <c r="A32" s="3" t="s">
        <v>126</v>
      </c>
      <c r="B32" s="3" t="s">
        <v>93</v>
      </c>
      <c r="C32" s="3" t="s">
        <v>127</v>
      </c>
      <c r="D32" s="7" t="n">
        <v>3</v>
      </c>
      <c r="E32" s="3" t="s">
        <v>95</v>
      </c>
      <c r="F32" s="7" t="n">
        <v>238956</v>
      </c>
      <c r="G32" s="3" t="s">
        <v>56</v>
      </c>
      <c r="H32" s="3" t="s">
        <v>96</v>
      </c>
      <c r="I32" s="3" t="s">
        <v>97</v>
      </c>
      <c r="J32" s="3" t="s">
        <v>98</v>
      </c>
      <c r="K32" s="0" t="n">
        <v>0</v>
      </c>
      <c r="L32" s="0" t="n">
        <v>1000</v>
      </c>
      <c r="M32" s="0" t="n">
        <v>0</v>
      </c>
      <c r="N32" s="0" t="n">
        <v>1000</v>
      </c>
      <c r="O32" s="0" t="n">
        <v>0</v>
      </c>
      <c r="P32" s="0" t="n">
        <v>1000</v>
      </c>
    </row>
    <row r="33" customFormat="false" ht="15" hidden="false" customHeight="false" outlineLevel="0" collapsed="false">
      <c r="A33" s="3" t="s">
        <v>128</v>
      </c>
      <c r="B33" s="3" t="s">
        <v>93</v>
      </c>
      <c r="C33" s="3" t="s">
        <v>129</v>
      </c>
      <c r="D33" s="7" t="n">
        <v>3</v>
      </c>
      <c r="E33" s="3" t="s">
        <v>95</v>
      </c>
      <c r="F33" s="7" t="n">
        <v>238956</v>
      </c>
      <c r="G33" s="3" t="s">
        <v>56</v>
      </c>
      <c r="H33" s="3" t="s">
        <v>96</v>
      </c>
      <c r="I33" s="3" t="s">
        <v>97</v>
      </c>
      <c r="J33" s="3" t="s">
        <v>98</v>
      </c>
      <c r="K33" s="0" t="n">
        <v>0</v>
      </c>
      <c r="L33" s="0" t="n">
        <v>1000</v>
      </c>
      <c r="M33" s="0" t="n">
        <v>0</v>
      </c>
      <c r="N33" s="0" t="n">
        <v>1000</v>
      </c>
      <c r="O33" s="0" t="n">
        <v>0</v>
      </c>
      <c r="P33" s="0" t="n">
        <v>1000</v>
      </c>
    </row>
    <row r="34" customFormat="false" ht="15" hidden="false" customHeight="false" outlineLevel="0" collapsed="false">
      <c r="A34" s="3" t="s">
        <v>130</v>
      </c>
      <c r="B34" s="3" t="s">
        <v>93</v>
      </c>
      <c r="C34" s="3" t="s">
        <v>131</v>
      </c>
      <c r="D34" s="7" t="n">
        <v>3</v>
      </c>
      <c r="E34" s="3" t="s">
        <v>95</v>
      </c>
      <c r="F34" s="7" t="n">
        <v>238956</v>
      </c>
      <c r="G34" s="3" t="s">
        <v>56</v>
      </c>
      <c r="H34" s="3" t="s">
        <v>96</v>
      </c>
      <c r="I34" s="3" t="s">
        <v>97</v>
      </c>
      <c r="J34" s="3" t="s">
        <v>98</v>
      </c>
      <c r="K34" s="0" t="n">
        <v>0</v>
      </c>
      <c r="L34" s="0" t="n">
        <v>1000</v>
      </c>
      <c r="M34" s="0" t="n">
        <v>0</v>
      </c>
      <c r="N34" s="0" t="n">
        <v>1000</v>
      </c>
      <c r="O34" s="0" t="n">
        <v>0</v>
      </c>
      <c r="P34" s="0" t="n">
        <v>1000</v>
      </c>
    </row>
    <row r="35" customFormat="false" ht="15" hidden="false" customHeight="false" outlineLevel="0" collapsed="false">
      <c r="A35" s="3" t="s">
        <v>132</v>
      </c>
      <c r="B35" s="3" t="s">
        <v>93</v>
      </c>
      <c r="C35" s="3" t="s">
        <v>133</v>
      </c>
      <c r="D35" s="7" t="n">
        <v>3</v>
      </c>
      <c r="E35" s="3" t="s">
        <v>95</v>
      </c>
      <c r="F35" s="7" t="n">
        <v>238956</v>
      </c>
      <c r="G35" s="3" t="s">
        <v>56</v>
      </c>
      <c r="H35" s="3" t="s">
        <v>96</v>
      </c>
      <c r="I35" s="3" t="s">
        <v>97</v>
      </c>
      <c r="J35" s="3" t="s">
        <v>98</v>
      </c>
      <c r="K35" s="0" t="n">
        <v>0</v>
      </c>
      <c r="L35" s="0" t="n">
        <v>1000</v>
      </c>
      <c r="M35" s="0" t="n">
        <v>0</v>
      </c>
      <c r="N35" s="0" t="n">
        <v>1000</v>
      </c>
      <c r="O35" s="0" t="n">
        <v>0</v>
      </c>
      <c r="P35" s="0" t="n">
        <v>1000</v>
      </c>
    </row>
    <row r="36" customFormat="false" ht="15" hidden="false" customHeight="false" outlineLevel="0" collapsed="false">
      <c r="A36" s="3" t="s">
        <v>134</v>
      </c>
      <c r="B36" s="3" t="s">
        <v>93</v>
      </c>
      <c r="C36" s="3" t="s">
        <v>135</v>
      </c>
      <c r="D36" s="7" t="n">
        <v>3</v>
      </c>
      <c r="E36" s="3" t="s">
        <v>95</v>
      </c>
      <c r="F36" s="7" t="n">
        <v>238956</v>
      </c>
      <c r="G36" s="3" t="s">
        <v>56</v>
      </c>
      <c r="H36" s="3" t="s">
        <v>96</v>
      </c>
      <c r="I36" s="3" t="s">
        <v>97</v>
      </c>
      <c r="J36" s="3" t="s">
        <v>98</v>
      </c>
      <c r="K36" s="0" t="n">
        <v>0</v>
      </c>
      <c r="L36" s="0" t="n">
        <v>1000</v>
      </c>
      <c r="M36" s="0" t="n">
        <v>0</v>
      </c>
      <c r="N36" s="0" t="n">
        <v>1000</v>
      </c>
      <c r="O36" s="0" t="n">
        <v>0</v>
      </c>
      <c r="P36" s="0" t="n">
        <v>1000</v>
      </c>
    </row>
    <row r="37" customFormat="false" ht="15" hidden="false" customHeight="false" outlineLevel="0" collapsed="false">
      <c r="A37" s="3" t="s">
        <v>136</v>
      </c>
      <c r="B37" s="3" t="s">
        <v>137</v>
      </c>
      <c r="C37" s="3" t="s">
        <v>138</v>
      </c>
      <c r="D37" s="7" t="n">
        <v>1</v>
      </c>
      <c r="G37" s="3" t="s">
        <v>139</v>
      </c>
      <c r="K37" s="0" t="n">
        <v>-1000</v>
      </c>
      <c r="L37" s="0" t="n">
        <v>1000</v>
      </c>
      <c r="M37" s="0" t="n">
        <v>-1000</v>
      </c>
      <c r="N37" s="0" t="n">
        <v>1000</v>
      </c>
      <c r="O37" s="0" t="n">
        <v>-1000</v>
      </c>
      <c r="P37" s="0" t="n">
        <v>1000</v>
      </c>
    </row>
    <row r="38" customFormat="false" ht="15" hidden="false" customHeight="false" outlineLevel="0" collapsed="false">
      <c r="A38" s="3" t="s">
        <v>140</v>
      </c>
      <c r="B38" s="3" t="s">
        <v>141</v>
      </c>
      <c r="C38" s="3" t="s">
        <v>142</v>
      </c>
      <c r="D38" s="7" t="n">
        <v>1</v>
      </c>
      <c r="G38" s="3" t="s">
        <v>143</v>
      </c>
      <c r="K38" s="0" t="n">
        <v>-1000</v>
      </c>
      <c r="L38" s="0" t="n">
        <v>1000</v>
      </c>
      <c r="M38" s="0" t="n">
        <v>-1000</v>
      </c>
      <c r="N38" s="0" t="n">
        <v>1000</v>
      </c>
      <c r="O38" s="0" t="n">
        <v>-1000</v>
      </c>
      <c r="P38" s="0" t="n">
        <v>1000</v>
      </c>
    </row>
    <row r="39" customFormat="false" ht="15" hidden="false" customHeight="false" outlineLevel="0" collapsed="false">
      <c r="A39" s="3" t="s">
        <v>144</v>
      </c>
      <c r="B39" s="3" t="s">
        <v>145</v>
      </c>
      <c r="C39" s="3" t="s">
        <v>146</v>
      </c>
      <c r="D39" s="7" t="n">
        <v>4</v>
      </c>
      <c r="F39" s="7" t="n">
        <v>21833324</v>
      </c>
      <c r="G39" s="3" t="s">
        <v>147</v>
      </c>
      <c r="H39" s="3" t="s">
        <v>148</v>
      </c>
      <c r="I39" s="3" t="s">
        <v>149</v>
      </c>
      <c r="J39" s="3" t="s">
        <v>150</v>
      </c>
      <c r="K39" s="0" t="n">
        <v>0</v>
      </c>
      <c r="L39" s="0" t="n">
        <v>1000</v>
      </c>
      <c r="M39" s="0" t="n">
        <v>0</v>
      </c>
      <c r="N39" s="0" t="n">
        <v>1000</v>
      </c>
      <c r="O39" s="0" t="n">
        <v>0</v>
      </c>
      <c r="P39" s="0" t="n">
        <v>1000</v>
      </c>
    </row>
    <row r="40" customFormat="false" ht="15" hidden="false" customHeight="false" outlineLevel="0" collapsed="false">
      <c r="A40" s="3" t="s">
        <v>151</v>
      </c>
      <c r="B40" s="3" t="s">
        <v>145</v>
      </c>
      <c r="C40" s="3" t="s">
        <v>152</v>
      </c>
      <c r="D40" s="7" t="n">
        <v>4</v>
      </c>
      <c r="F40" s="7" t="n">
        <v>17904676</v>
      </c>
      <c r="G40" s="3" t="s">
        <v>147</v>
      </c>
      <c r="H40" s="3" t="s">
        <v>148</v>
      </c>
      <c r="I40" s="3" t="s">
        <v>149</v>
      </c>
      <c r="J40" s="3" t="s">
        <v>150</v>
      </c>
      <c r="K40" s="0" t="n">
        <v>0</v>
      </c>
      <c r="L40" s="0" t="n">
        <v>1000</v>
      </c>
      <c r="M40" s="0" t="n">
        <v>0</v>
      </c>
      <c r="N40" s="0" t="n">
        <v>1000</v>
      </c>
      <c r="O40" s="0" t="n">
        <v>0</v>
      </c>
      <c r="P40" s="0" t="n">
        <v>1000</v>
      </c>
    </row>
    <row r="41" customFormat="false" ht="15" hidden="false" customHeight="false" outlineLevel="0" collapsed="false">
      <c r="A41" s="3" t="s">
        <v>153</v>
      </c>
      <c r="B41" s="3" t="s">
        <v>154</v>
      </c>
      <c r="C41" s="3" t="s">
        <v>155</v>
      </c>
      <c r="D41" s="7" t="n">
        <v>1</v>
      </c>
      <c r="E41" s="3" t="s">
        <v>156</v>
      </c>
      <c r="G41" s="3" t="s">
        <v>157</v>
      </c>
      <c r="K41" s="0" t="n">
        <v>-1000</v>
      </c>
      <c r="L41" s="0" t="n">
        <v>1000</v>
      </c>
      <c r="M41" s="0" t="n">
        <v>-1000</v>
      </c>
      <c r="N41" s="0" t="n">
        <v>1000</v>
      </c>
      <c r="O41" s="0" t="n">
        <v>-1000</v>
      </c>
      <c r="P41" s="0" t="n">
        <v>1000</v>
      </c>
    </row>
    <row r="42" customFormat="false" ht="15" hidden="false" customHeight="false" outlineLevel="0" collapsed="false">
      <c r="A42" s="3" t="s">
        <v>158</v>
      </c>
      <c r="B42" s="3" t="s">
        <v>159</v>
      </c>
      <c r="C42" s="3" t="s">
        <v>160</v>
      </c>
      <c r="D42" s="7" t="n">
        <v>2</v>
      </c>
      <c r="E42" s="3" t="s">
        <v>161</v>
      </c>
      <c r="G42" s="3" t="s">
        <v>162</v>
      </c>
      <c r="H42" s="3" t="s">
        <v>163</v>
      </c>
      <c r="I42" s="3" t="s">
        <v>164</v>
      </c>
      <c r="J42" s="3" t="s">
        <v>163</v>
      </c>
      <c r="K42" s="0" t="n">
        <v>-1000</v>
      </c>
      <c r="L42" s="0" t="n">
        <v>1000</v>
      </c>
      <c r="M42" s="0" t="n">
        <v>-1000</v>
      </c>
      <c r="N42" s="0" t="n">
        <v>1000</v>
      </c>
      <c r="O42" s="0" t="n">
        <v>-1000</v>
      </c>
      <c r="P42" s="0" t="n">
        <v>1000</v>
      </c>
    </row>
    <row r="43" customFormat="false" ht="15" hidden="false" customHeight="false" outlineLevel="0" collapsed="false">
      <c r="A43" s="3" t="s">
        <v>165</v>
      </c>
      <c r="B43" s="3" t="s">
        <v>166</v>
      </c>
      <c r="C43" s="3" t="s">
        <v>167</v>
      </c>
      <c r="D43" s="7" t="n">
        <v>2</v>
      </c>
      <c r="E43" s="3" t="s">
        <v>168</v>
      </c>
      <c r="G43" s="3" t="s">
        <v>169</v>
      </c>
      <c r="H43" s="3" t="s">
        <v>170</v>
      </c>
      <c r="I43" s="3" t="s">
        <v>171</v>
      </c>
      <c r="J43" s="3" t="s">
        <v>172</v>
      </c>
      <c r="K43" s="0" t="n">
        <v>-1000</v>
      </c>
      <c r="L43" s="0" t="n">
        <v>1000</v>
      </c>
      <c r="M43" s="0" t="n">
        <v>-1000</v>
      </c>
      <c r="N43" s="0" t="n">
        <v>1000</v>
      </c>
      <c r="O43" s="0" t="n">
        <v>-1000</v>
      </c>
      <c r="P43" s="0" t="n">
        <v>1000</v>
      </c>
    </row>
    <row r="44" customFormat="false" ht="15" hidden="false" customHeight="false" outlineLevel="0" collapsed="false">
      <c r="A44" s="3" t="s">
        <v>173</v>
      </c>
      <c r="B44" s="3" t="s">
        <v>174</v>
      </c>
      <c r="C44" s="3" t="s">
        <v>175</v>
      </c>
      <c r="D44" s="7" t="n">
        <v>2</v>
      </c>
      <c r="E44" s="3" t="s">
        <v>176</v>
      </c>
      <c r="G44" s="3" t="s">
        <v>177</v>
      </c>
      <c r="H44" s="3" t="s">
        <v>178</v>
      </c>
      <c r="I44" s="3" t="s">
        <v>179</v>
      </c>
      <c r="J44" s="3" t="s">
        <v>180</v>
      </c>
      <c r="K44" s="0" t="n">
        <v>0</v>
      </c>
      <c r="L44" s="0" t="n">
        <v>1000</v>
      </c>
      <c r="M44" s="0" t="n">
        <v>0</v>
      </c>
      <c r="N44" s="0" t="n">
        <v>1000</v>
      </c>
      <c r="O44" s="0" t="n">
        <v>0</v>
      </c>
      <c r="P44" s="0" t="n">
        <v>1000</v>
      </c>
    </row>
    <row r="45" customFormat="false" ht="15" hidden="false" customHeight="false" outlineLevel="0" collapsed="false">
      <c r="A45" s="3" t="s">
        <v>181</v>
      </c>
      <c r="B45" s="3" t="s">
        <v>182</v>
      </c>
      <c r="C45" s="3" t="s">
        <v>183</v>
      </c>
      <c r="D45" s="7" t="n">
        <v>2</v>
      </c>
      <c r="E45" s="3" t="s">
        <v>184</v>
      </c>
      <c r="G45" s="3" t="s">
        <v>177</v>
      </c>
      <c r="H45" s="3" t="s">
        <v>185</v>
      </c>
      <c r="I45" s="3" t="s">
        <v>186</v>
      </c>
      <c r="J45" s="3" t="s">
        <v>187</v>
      </c>
      <c r="K45" s="0" t="n">
        <v>0</v>
      </c>
      <c r="L45" s="0" t="n">
        <v>1000</v>
      </c>
      <c r="M45" s="0" t="n">
        <v>0</v>
      </c>
      <c r="N45" s="0" t="n">
        <v>1000</v>
      </c>
      <c r="O45" s="0" t="n">
        <v>0</v>
      </c>
      <c r="P45" s="0" t="n">
        <v>1000</v>
      </c>
    </row>
    <row r="46" customFormat="false" ht="15" hidden="false" customHeight="false" outlineLevel="0" collapsed="false">
      <c r="A46" s="3" t="s">
        <v>188</v>
      </c>
      <c r="B46" s="3" t="s">
        <v>189</v>
      </c>
      <c r="C46" s="3" t="s">
        <v>190</v>
      </c>
      <c r="D46" s="7" t="n">
        <v>2</v>
      </c>
      <c r="E46" s="3" t="s">
        <v>191</v>
      </c>
      <c r="G46" s="3" t="s">
        <v>192</v>
      </c>
      <c r="H46" s="3" t="s">
        <v>193</v>
      </c>
      <c r="I46" s="3" t="s">
        <v>194</v>
      </c>
      <c r="J46" s="3" t="s">
        <v>195</v>
      </c>
      <c r="K46" s="0" t="n">
        <v>0</v>
      </c>
      <c r="L46" s="0" t="n">
        <v>1000</v>
      </c>
      <c r="M46" s="0" t="n">
        <v>0</v>
      </c>
      <c r="N46" s="0" t="n">
        <v>1000</v>
      </c>
      <c r="O46" s="0" t="n">
        <v>0</v>
      </c>
      <c r="P46" s="0" t="n">
        <v>1000</v>
      </c>
    </row>
    <row r="47" customFormat="false" ht="15" hidden="false" customHeight="false" outlineLevel="0" collapsed="false">
      <c r="A47" s="3" t="s">
        <v>196</v>
      </c>
      <c r="B47" s="3" t="s">
        <v>197</v>
      </c>
      <c r="C47" s="3" t="s">
        <v>198</v>
      </c>
      <c r="D47" s="7" t="n">
        <v>2</v>
      </c>
      <c r="E47" s="3" t="s">
        <v>199</v>
      </c>
      <c r="G47" s="3" t="s">
        <v>192</v>
      </c>
      <c r="H47" s="3" t="s">
        <v>193</v>
      </c>
      <c r="I47" s="3" t="s">
        <v>194</v>
      </c>
      <c r="J47" s="3" t="s">
        <v>195</v>
      </c>
      <c r="K47" s="0" t="n">
        <v>0</v>
      </c>
      <c r="L47" s="0" t="n">
        <v>1000</v>
      </c>
      <c r="M47" s="0" t="n">
        <v>0</v>
      </c>
      <c r="N47" s="0" t="n">
        <v>1000</v>
      </c>
      <c r="O47" s="0" t="n">
        <v>0</v>
      </c>
      <c r="P47" s="0" t="n">
        <v>1000</v>
      </c>
    </row>
    <row r="48" customFormat="false" ht="15" hidden="false" customHeight="false" outlineLevel="0" collapsed="false">
      <c r="A48" s="3" t="s">
        <v>200</v>
      </c>
      <c r="B48" s="3" t="s">
        <v>201</v>
      </c>
      <c r="C48" s="3" t="s">
        <v>202</v>
      </c>
      <c r="D48" s="7" t="n">
        <v>1</v>
      </c>
      <c r="E48" s="3" t="s">
        <v>203</v>
      </c>
      <c r="G48" s="3" t="s">
        <v>204</v>
      </c>
      <c r="K48" s="0" t="n">
        <v>-1000</v>
      </c>
      <c r="L48" s="0" t="n">
        <v>1000</v>
      </c>
      <c r="M48" s="0" t="n">
        <v>-1000</v>
      </c>
      <c r="N48" s="0" t="n">
        <v>1000</v>
      </c>
      <c r="O48" s="0" t="n">
        <v>-1000</v>
      </c>
      <c r="P48" s="0" t="n">
        <v>1000</v>
      </c>
    </row>
    <row r="49" customFormat="false" ht="15" hidden="false" customHeight="false" outlineLevel="0" collapsed="false">
      <c r="A49" s="3" t="s">
        <v>205</v>
      </c>
      <c r="B49" s="3" t="s">
        <v>206</v>
      </c>
      <c r="C49" s="3" t="s">
        <v>207</v>
      </c>
      <c r="D49" s="7" t="n">
        <v>1</v>
      </c>
      <c r="E49" s="3" t="s">
        <v>208</v>
      </c>
      <c r="G49" s="3" t="s">
        <v>177</v>
      </c>
      <c r="K49" s="0" t="n">
        <v>0</v>
      </c>
      <c r="L49" s="0" t="n">
        <v>1000</v>
      </c>
      <c r="M49" s="0" t="n">
        <v>0</v>
      </c>
      <c r="N49" s="0" t="n">
        <v>1000</v>
      </c>
      <c r="O49" s="0" t="n">
        <v>0</v>
      </c>
      <c r="P49" s="0" t="n">
        <v>1000</v>
      </c>
    </row>
    <row r="50" customFormat="false" ht="15" hidden="false" customHeight="false" outlineLevel="0" collapsed="false">
      <c r="A50" s="3" t="s">
        <v>209</v>
      </c>
      <c r="B50" s="3" t="s">
        <v>210</v>
      </c>
      <c r="C50" s="3" t="s">
        <v>211</v>
      </c>
      <c r="D50" s="7" t="n">
        <v>2</v>
      </c>
      <c r="E50" s="3" t="s">
        <v>212</v>
      </c>
      <c r="G50" s="3" t="s">
        <v>213</v>
      </c>
      <c r="H50" s="3" t="s">
        <v>214</v>
      </c>
      <c r="I50" s="3" t="s">
        <v>215</v>
      </c>
      <c r="J50" s="3" t="s">
        <v>214</v>
      </c>
      <c r="K50" s="0" t="n">
        <v>-1000</v>
      </c>
      <c r="L50" s="0" t="n">
        <v>1000</v>
      </c>
      <c r="M50" s="0" t="n">
        <v>-1000</v>
      </c>
      <c r="N50" s="0" t="n">
        <v>1000</v>
      </c>
      <c r="O50" s="0" t="n">
        <v>-1000</v>
      </c>
      <c r="P50" s="0" t="n">
        <v>1000</v>
      </c>
    </row>
    <row r="51" customFormat="false" ht="15" hidden="false" customHeight="false" outlineLevel="0" collapsed="false">
      <c r="A51" s="3" t="s">
        <v>216</v>
      </c>
      <c r="B51" s="3" t="s">
        <v>217</v>
      </c>
      <c r="C51" s="3" t="s">
        <v>218</v>
      </c>
      <c r="D51" s="7" t="n">
        <v>2</v>
      </c>
      <c r="E51" s="3" t="s">
        <v>212</v>
      </c>
      <c r="G51" s="3" t="s">
        <v>213</v>
      </c>
      <c r="H51" s="3" t="s">
        <v>214</v>
      </c>
      <c r="I51" s="3" t="s">
        <v>215</v>
      </c>
      <c r="J51" s="3" t="s">
        <v>214</v>
      </c>
      <c r="K51" s="0" t="n">
        <v>-1000</v>
      </c>
      <c r="L51" s="0" t="n">
        <v>1000</v>
      </c>
      <c r="M51" s="0" t="n">
        <v>-1000</v>
      </c>
      <c r="N51" s="0" t="n">
        <v>1000</v>
      </c>
      <c r="O51" s="0" t="n">
        <v>-1000</v>
      </c>
      <c r="P51" s="0" t="n">
        <v>1000</v>
      </c>
    </row>
    <row r="52" customFormat="false" ht="15" hidden="false" customHeight="false" outlineLevel="0" collapsed="false">
      <c r="A52" s="3" t="s">
        <v>219</v>
      </c>
      <c r="B52" s="3" t="s">
        <v>220</v>
      </c>
      <c r="C52" s="3" t="s">
        <v>221</v>
      </c>
      <c r="D52" s="7" t="n">
        <v>2</v>
      </c>
      <c r="E52" s="3" t="s">
        <v>222</v>
      </c>
      <c r="G52" s="3" t="s">
        <v>177</v>
      </c>
      <c r="H52" s="3" t="s">
        <v>223</v>
      </c>
      <c r="I52" s="3" t="s">
        <v>224</v>
      </c>
      <c r="J52" s="3" t="s">
        <v>225</v>
      </c>
      <c r="K52" s="0" t="n">
        <v>-1000</v>
      </c>
      <c r="L52" s="0" t="n">
        <v>1000</v>
      </c>
      <c r="M52" s="0" t="n">
        <v>-1000</v>
      </c>
      <c r="N52" s="0" t="n">
        <v>1000</v>
      </c>
      <c r="O52" s="0" t="n">
        <v>-1000</v>
      </c>
      <c r="P52" s="0" t="n">
        <v>1000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3" t="s">
        <v>228</v>
      </c>
      <c r="D53" s="7" t="n">
        <v>3</v>
      </c>
      <c r="E53" s="3" t="s">
        <v>229</v>
      </c>
      <c r="F53" s="7" t="n">
        <v>14675496</v>
      </c>
      <c r="G53" s="3" t="s">
        <v>230</v>
      </c>
      <c r="H53" s="3" t="s">
        <v>231</v>
      </c>
      <c r="I53" s="3" t="s">
        <v>232</v>
      </c>
      <c r="J53" s="3" t="s">
        <v>233</v>
      </c>
      <c r="K53" s="0" t="n">
        <v>0</v>
      </c>
      <c r="L53" s="0" t="n">
        <v>1000</v>
      </c>
      <c r="M53" s="0" t="n">
        <v>0</v>
      </c>
      <c r="N53" s="0" t="n">
        <v>1000</v>
      </c>
      <c r="O53" s="0" t="n">
        <v>0</v>
      </c>
      <c r="P53" s="0" t="n">
        <v>1000</v>
      </c>
    </row>
    <row r="54" customFormat="false" ht="15" hidden="false" customHeight="false" outlineLevel="0" collapsed="false">
      <c r="A54" s="3" t="s">
        <v>234</v>
      </c>
      <c r="B54" s="3" t="s">
        <v>235</v>
      </c>
      <c r="C54" s="3" t="s">
        <v>236</v>
      </c>
      <c r="D54" s="7" t="n">
        <v>2</v>
      </c>
      <c r="E54" s="3" t="s">
        <v>237</v>
      </c>
      <c r="F54" s="7" t="n">
        <v>14675496</v>
      </c>
      <c r="G54" s="3" t="s">
        <v>238</v>
      </c>
      <c r="K54" s="0" t="n">
        <v>0</v>
      </c>
      <c r="L54" s="0" t="n">
        <v>1000</v>
      </c>
      <c r="M54" s="0" t="n">
        <v>0</v>
      </c>
      <c r="N54" s="0" t="n">
        <v>1000</v>
      </c>
      <c r="O54" s="0" t="n">
        <v>0</v>
      </c>
      <c r="P54" s="0" t="n">
        <v>1000</v>
      </c>
    </row>
    <row r="55" customFormat="false" ht="15" hidden="false" customHeight="false" outlineLevel="0" collapsed="false">
      <c r="A55" s="3" t="s">
        <v>239</v>
      </c>
      <c r="B55" s="3" t="s">
        <v>240</v>
      </c>
      <c r="C55" s="3" t="s">
        <v>241</v>
      </c>
      <c r="D55" s="7" t="n">
        <v>2</v>
      </c>
      <c r="E55" s="3" t="s">
        <v>242</v>
      </c>
      <c r="G55" s="3" t="s">
        <v>243</v>
      </c>
      <c r="H55" s="3" t="s">
        <v>244</v>
      </c>
      <c r="I55" s="3" t="s">
        <v>245</v>
      </c>
      <c r="J55" s="3" t="s">
        <v>246</v>
      </c>
      <c r="K55" s="0" t="n">
        <v>0</v>
      </c>
      <c r="L55" s="0" t="n">
        <v>1000</v>
      </c>
      <c r="M55" s="0" t="n">
        <v>0</v>
      </c>
      <c r="N55" s="0" t="n">
        <v>1000</v>
      </c>
      <c r="O55" s="0" t="n">
        <v>0</v>
      </c>
      <c r="P55" s="0" t="n">
        <v>1000</v>
      </c>
    </row>
    <row r="56" customFormat="false" ht="15" hidden="false" customHeight="false" outlineLevel="0" collapsed="false">
      <c r="A56" s="3" t="s">
        <v>247</v>
      </c>
      <c r="B56" s="3" t="s">
        <v>248</v>
      </c>
      <c r="C56" s="3" t="s">
        <v>249</v>
      </c>
      <c r="D56" s="7" t="n">
        <v>2</v>
      </c>
      <c r="E56" s="3" t="s">
        <v>250</v>
      </c>
      <c r="G56" s="3" t="s">
        <v>251</v>
      </c>
      <c r="H56" s="3" t="s">
        <v>252</v>
      </c>
      <c r="I56" s="3" t="s">
        <v>253</v>
      </c>
      <c r="J56" s="3" t="s">
        <v>254</v>
      </c>
      <c r="K56" s="0" t="n">
        <v>-1000</v>
      </c>
      <c r="L56" s="0" t="n">
        <v>1000</v>
      </c>
      <c r="M56" s="0" t="n">
        <v>-1000</v>
      </c>
      <c r="N56" s="0" t="n">
        <v>1000</v>
      </c>
      <c r="O56" s="0" t="n">
        <v>-1000</v>
      </c>
      <c r="P56" s="0" t="n">
        <v>1000</v>
      </c>
    </row>
    <row r="57" customFormat="false" ht="15" hidden="false" customHeight="false" outlineLevel="0" collapsed="false">
      <c r="A57" s="3" t="s">
        <v>255</v>
      </c>
      <c r="B57" s="3" t="s">
        <v>256</v>
      </c>
      <c r="C57" s="3" t="s">
        <v>257</v>
      </c>
      <c r="D57" s="7" t="n">
        <v>2</v>
      </c>
      <c r="E57" s="3" t="s">
        <v>258</v>
      </c>
      <c r="G57" s="3" t="s">
        <v>259</v>
      </c>
      <c r="H57" s="3" t="s">
        <v>260</v>
      </c>
      <c r="I57" s="3" t="s">
        <v>261</v>
      </c>
      <c r="J57" s="3" t="s">
        <v>260</v>
      </c>
      <c r="K57" s="0" t="n">
        <v>0</v>
      </c>
      <c r="L57" s="0" t="n">
        <v>1000</v>
      </c>
      <c r="M57" s="0" t="n">
        <v>0</v>
      </c>
      <c r="N57" s="0" t="n">
        <v>1000</v>
      </c>
      <c r="O57" s="0" t="n">
        <v>0</v>
      </c>
      <c r="P57" s="0" t="n">
        <v>1000</v>
      </c>
    </row>
    <row r="58" customFormat="false" ht="15" hidden="false" customHeight="false" outlineLevel="0" collapsed="false">
      <c r="A58" s="3" t="s">
        <v>262</v>
      </c>
      <c r="B58" s="3" t="s">
        <v>263</v>
      </c>
      <c r="C58" s="3" t="s">
        <v>264</v>
      </c>
      <c r="D58" s="7" t="n">
        <v>2</v>
      </c>
      <c r="E58" s="3" t="s">
        <v>265</v>
      </c>
      <c r="G58" s="3" t="s">
        <v>259</v>
      </c>
      <c r="H58" s="3" t="s">
        <v>266</v>
      </c>
      <c r="I58" s="3" t="s">
        <v>267</v>
      </c>
      <c r="J58" s="3" t="s">
        <v>268</v>
      </c>
      <c r="K58" s="0" t="n">
        <v>0</v>
      </c>
      <c r="L58" s="0" t="n">
        <v>1000</v>
      </c>
      <c r="M58" s="0" t="n">
        <v>0</v>
      </c>
      <c r="N58" s="0" t="n">
        <v>1000</v>
      </c>
      <c r="O58" s="0" t="n">
        <v>0</v>
      </c>
      <c r="P58" s="0" t="n">
        <v>1000</v>
      </c>
    </row>
    <row r="59" customFormat="false" ht="15" hidden="false" customHeight="false" outlineLevel="0" collapsed="false">
      <c r="A59" s="3" t="s">
        <v>269</v>
      </c>
      <c r="B59" s="3" t="s">
        <v>270</v>
      </c>
      <c r="C59" s="3" t="s">
        <v>271</v>
      </c>
      <c r="D59" s="7" t="n">
        <v>2</v>
      </c>
      <c r="E59" s="3" t="s">
        <v>272</v>
      </c>
      <c r="G59" s="3" t="s">
        <v>251</v>
      </c>
      <c r="H59" s="3" t="s">
        <v>273</v>
      </c>
      <c r="I59" s="3" t="s">
        <v>274</v>
      </c>
      <c r="J59" s="3" t="s">
        <v>275</v>
      </c>
      <c r="K59" s="0" t="n">
        <v>-1000</v>
      </c>
      <c r="L59" s="0" t="n">
        <v>1000</v>
      </c>
      <c r="M59" s="0" t="n">
        <v>-1000</v>
      </c>
      <c r="N59" s="0" t="n">
        <v>1000</v>
      </c>
      <c r="O59" s="0" t="n">
        <v>-1000</v>
      </c>
      <c r="P59" s="0" t="n">
        <v>1000</v>
      </c>
    </row>
    <row r="60" customFormat="false" ht="15" hidden="false" customHeight="false" outlineLevel="0" collapsed="false">
      <c r="A60" s="3" t="s">
        <v>276</v>
      </c>
      <c r="B60" s="3" t="s">
        <v>277</v>
      </c>
      <c r="C60" s="3" t="s">
        <v>278</v>
      </c>
      <c r="D60" s="7" t="n">
        <v>2</v>
      </c>
      <c r="E60" s="3" t="s">
        <v>279</v>
      </c>
      <c r="G60" s="3" t="s">
        <v>177</v>
      </c>
      <c r="H60" s="3" t="s">
        <v>280</v>
      </c>
      <c r="I60" s="3" t="s">
        <v>281</v>
      </c>
      <c r="J60" s="3" t="s">
        <v>282</v>
      </c>
      <c r="K60" s="0" t="n">
        <v>-1000</v>
      </c>
      <c r="L60" s="0" t="n">
        <v>1000</v>
      </c>
      <c r="M60" s="0" t="n">
        <v>-1000</v>
      </c>
      <c r="N60" s="0" t="n">
        <v>1000</v>
      </c>
      <c r="O60" s="0" t="n">
        <v>-1000</v>
      </c>
      <c r="P60" s="0" t="n">
        <v>1000</v>
      </c>
    </row>
    <row r="61" customFormat="false" ht="15" hidden="false" customHeight="false" outlineLevel="0" collapsed="false">
      <c r="A61" s="3" t="s">
        <v>283</v>
      </c>
      <c r="B61" s="3" t="s">
        <v>284</v>
      </c>
      <c r="C61" s="3" t="s">
        <v>285</v>
      </c>
      <c r="D61" s="7" t="n">
        <v>2</v>
      </c>
      <c r="E61" s="3" t="s">
        <v>286</v>
      </c>
      <c r="G61" s="3" t="s">
        <v>287</v>
      </c>
      <c r="H61" s="3" t="s">
        <v>288</v>
      </c>
      <c r="I61" s="3" t="s">
        <v>289</v>
      </c>
      <c r="J61" s="3" t="s">
        <v>290</v>
      </c>
      <c r="K61" s="0" t="n">
        <v>-1000</v>
      </c>
      <c r="L61" s="0" t="n">
        <v>1000</v>
      </c>
      <c r="M61" s="0" t="n">
        <v>-1000</v>
      </c>
      <c r="N61" s="0" t="n">
        <v>1000</v>
      </c>
      <c r="O61" s="0" t="n">
        <v>-1000</v>
      </c>
      <c r="P61" s="0" t="n">
        <v>1000</v>
      </c>
    </row>
    <row r="62" customFormat="false" ht="15" hidden="false" customHeight="false" outlineLevel="0" collapsed="false">
      <c r="A62" s="3" t="s">
        <v>291</v>
      </c>
      <c r="B62" s="3" t="s">
        <v>292</v>
      </c>
      <c r="C62" s="3" t="s">
        <v>293</v>
      </c>
      <c r="D62" s="7" t="n">
        <v>2</v>
      </c>
      <c r="E62" s="3" t="s">
        <v>294</v>
      </c>
      <c r="G62" s="3" t="s">
        <v>251</v>
      </c>
      <c r="H62" s="3" t="s">
        <v>295</v>
      </c>
      <c r="I62" s="3" t="s">
        <v>296</v>
      </c>
      <c r="J62" s="3" t="s">
        <v>295</v>
      </c>
      <c r="K62" s="0" t="n">
        <v>-1000</v>
      </c>
      <c r="L62" s="0" t="n">
        <v>1000</v>
      </c>
      <c r="M62" s="0" t="n">
        <v>-1000</v>
      </c>
      <c r="N62" s="0" t="n">
        <v>1000</v>
      </c>
      <c r="O62" s="0" t="n">
        <v>-1000</v>
      </c>
      <c r="P62" s="0" t="n">
        <v>1000</v>
      </c>
    </row>
    <row r="63" customFormat="false" ht="15" hidden="false" customHeight="false" outlineLevel="0" collapsed="false">
      <c r="A63" s="3" t="s">
        <v>297</v>
      </c>
      <c r="B63" s="3" t="s">
        <v>298</v>
      </c>
      <c r="C63" s="3" t="s">
        <v>299</v>
      </c>
      <c r="D63" s="7" t="n">
        <v>2</v>
      </c>
      <c r="E63" s="3" t="s">
        <v>300</v>
      </c>
      <c r="F63" s="7" t="n">
        <v>14675496</v>
      </c>
      <c r="G63" s="3" t="s">
        <v>301</v>
      </c>
      <c r="H63" s="3" t="s">
        <v>302</v>
      </c>
      <c r="I63" s="3" t="s">
        <v>303</v>
      </c>
      <c r="J63" s="3" t="s">
        <v>302</v>
      </c>
      <c r="K63" s="0" t="n">
        <v>-1000</v>
      </c>
      <c r="L63" s="0" t="n">
        <v>1000</v>
      </c>
      <c r="M63" s="0" t="n">
        <v>-1000</v>
      </c>
      <c r="N63" s="0" t="n">
        <v>1000</v>
      </c>
      <c r="O63" s="0" t="n">
        <v>-1000</v>
      </c>
      <c r="P63" s="0" t="n">
        <v>1000</v>
      </c>
    </row>
    <row r="64" customFormat="false" ht="15" hidden="false" customHeight="false" outlineLevel="0" collapsed="false">
      <c r="A64" s="3" t="s">
        <v>304</v>
      </c>
      <c r="B64" s="3" t="s">
        <v>305</v>
      </c>
      <c r="C64" s="3" t="s">
        <v>306</v>
      </c>
      <c r="D64" s="7" t="n">
        <v>2</v>
      </c>
      <c r="E64" s="3" t="s">
        <v>307</v>
      </c>
      <c r="G64" s="3" t="s">
        <v>308</v>
      </c>
      <c r="H64" s="3" t="s">
        <v>309</v>
      </c>
      <c r="I64" s="3" t="s">
        <v>310</v>
      </c>
      <c r="J64" s="3" t="s">
        <v>311</v>
      </c>
      <c r="K64" s="0" t="n">
        <v>-1000</v>
      </c>
      <c r="L64" s="0" t="n">
        <v>1000</v>
      </c>
      <c r="M64" s="0" t="n">
        <v>-1000</v>
      </c>
      <c r="N64" s="0" t="n">
        <v>1000</v>
      </c>
      <c r="O64" s="0" t="n">
        <v>-1000</v>
      </c>
      <c r="P64" s="0" t="n">
        <v>1000</v>
      </c>
    </row>
    <row r="65" customFormat="false" ht="15" hidden="false" customHeight="false" outlineLevel="0" collapsed="false">
      <c r="A65" s="3" t="s">
        <v>312</v>
      </c>
      <c r="B65" s="3" t="s">
        <v>313</v>
      </c>
      <c r="C65" s="3" t="s">
        <v>314</v>
      </c>
      <c r="D65" s="7" t="n">
        <v>2</v>
      </c>
      <c r="E65" s="3" t="s">
        <v>307</v>
      </c>
      <c r="G65" s="3" t="s">
        <v>308</v>
      </c>
      <c r="H65" s="3" t="s">
        <v>309</v>
      </c>
      <c r="I65" s="3" t="s">
        <v>310</v>
      </c>
      <c r="J65" s="3" t="s">
        <v>311</v>
      </c>
      <c r="K65" s="0" t="n">
        <v>-1000</v>
      </c>
      <c r="L65" s="0" t="n">
        <v>1000</v>
      </c>
      <c r="M65" s="0" t="n">
        <v>-1000</v>
      </c>
      <c r="N65" s="0" t="n">
        <v>1000</v>
      </c>
      <c r="O65" s="0" t="n">
        <v>-1000</v>
      </c>
      <c r="P65" s="0" t="n">
        <v>1000</v>
      </c>
    </row>
    <row r="66" customFormat="false" ht="15" hidden="false" customHeight="false" outlineLevel="0" collapsed="false">
      <c r="A66" s="3" t="s">
        <v>315</v>
      </c>
      <c r="B66" s="3" t="s">
        <v>316</v>
      </c>
      <c r="C66" s="3" t="s">
        <v>317</v>
      </c>
      <c r="D66" s="7" t="n">
        <v>1</v>
      </c>
      <c r="G66" s="3" t="s">
        <v>147</v>
      </c>
      <c r="K66" s="0" t="n">
        <v>0</v>
      </c>
      <c r="L66" s="0" t="n">
        <v>1000</v>
      </c>
      <c r="M66" s="0" t="n">
        <v>0</v>
      </c>
      <c r="N66" s="0" t="n">
        <v>1000</v>
      </c>
      <c r="O66" s="0" t="n">
        <v>0</v>
      </c>
      <c r="P66" s="0" t="n">
        <v>1000</v>
      </c>
    </row>
    <row r="67" customFormat="false" ht="15" hidden="false" customHeight="false" outlineLevel="0" collapsed="false">
      <c r="A67" s="3" t="s">
        <v>318</v>
      </c>
      <c r="B67" s="3" t="s">
        <v>319</v>
      </c>
      <c r="C67" s="3" t="s">
        <v>320</v>
      </c>
      <c r="D67" s="7" t="n">
        <v>2</v>
      </c>
      <c r="E67" s="3" t="s">
        <v>321</v>
      </c>
      <c r="G67" s="3" t="s">
        <v>308</v>
      </c>
      <c r="H67" s="3" t="s">
        <v>322</v>
      </c>
      <c r="I67" s="3" t="s">
        <v>323</v>
      </c>
      <c r="J67" s="3" t="s">
        <v>324</v>
      </c>
      <c r="K67" s="0" t="n">
        <v>0</v>
      </c>
      <c r="L67" s="0" t="n">
        <v>1000</v>
      </c>
      <c r="M67" s="0" t="n">
        <v>0</v>
      </c>
      <c r="N67" s="0" t="n">
        <v>1000</v>
      </c>
      <c r="O67" s="0" t="n">
        <v>0</v>
      </c>
      <c r="P67" s="0" t="n">
        <v>1000</v>
      </c>
    </row>
    <row r="68" customFormat="false" ht="15" hidden="false" customHeight="false" outlineLevel="0" collapsed="false">
      <c r="A68" s="3" t="s">
        <v>325</v>
      </c>
      <c r="B68" s="3" t="s">
        <v>326</v>
      </c>
      <c r="C68" s="3" t="s">
        <v>327</v>
      </c>
      <c r="D68" s="7" t="n">
        <v>3</v>
      </c>
      <c r="F68" s="7" t="n">
        <v>15044494</v>
      </c>
      <c r="G68" s="3" t="s">
        <v>328</v>
      </c>
      <c r="H68" s="3" t="s">
        <v>329</v>
      </c>
      <c r="I68" s="3" t="s">
        <v>330</v>
      </c>
      <c r="J68" s="3" t="s">
        <v>331</v>
      </c>
      <c r="K68" s="0" t="n">
        <v>0</v>
      </c>
      <c r="L68" s="0" t="n">
        <v>1000</v>
      </c>
      <c r="M68" s="0" t="n">
        <v>0</v>
      </c>
      <c r="N68" s="0" t="n">
        <v>1000</v>
      </c>
      <c r="O68" s="0" t="n">
        <v>0</v>
      </c>
      <c r="P68" s="0" t="n">
        <v>1000</v>
      </c>
    </row>
    <row r="69" customFormat="false" ht="15" hidden="false" customHeight="false" outlineLevel="0" collapsed="false">
      <c r="A69" s="3" t="s">
        <v>332</v>
      </c>
      <c r="B69" s="3" t="s">
        <v>333</v>
      </c>
      <c r="C69" s="3" t="s">
        <v>334</v>
      </c>
      <c r="D69" s="7" t="n">
        <v>2</v>
      </c>
      <c r="E69" s="3" t="s">
        <v>335</v>
      </c>
      <c r="G69" s="3" t="s">
        <v>328</v>
      </c>
      <c r="H69" s="3" t="s">
        <v>336</v>
      </c>
      <c r="I69" s="3" t="s">
        <v>337</v>
      </c>
      <c r="J69" s="3" t="s">
        <v>338</v>
      </c>
      <c r="K69" s="0" t="n">
        <v>-1000</v>
      </c>
      <c r="L69" s="0" t="n">
        <v>1000</v>
      </c>
      <c r="M69" s="0" t="n">
        <v>-1000</v>
      </c>
      <c r="N69" s="0" t="n">
        <v>1000</v>
      </c>
      <c r="O69" s="0" t="n">
        <v>-1000</v>
      </c>
      <c r="P69" s="0" t="n">
        <v>1000</v>
      </c>
    </row>
    <row r="70" customFormat="false" ht="15" hidden="false" customHeight="false" outlineLevel="0" collapsed="false">
      <c r="A70" s="3" t="s">
        <v>339</v>
      </c>
      <c r="B70" s="3" t="s">
        <v>340</v>
      </c>
      <c r="C70" s="3" t="s">
        <v>341</v>
      </c>
      <c r="D70" s="7" t="n">
        <v>2</v>
      </c>
      <c r="E70" s="3" t="s">
        <v>342</v>
      </c>
      <c r="G70" s="3" t="s">
        <v>177</v>
      </c>
      <c r="H70" s="3" t="s">
        <v>343</v>
      </c>
      <c r="I70" s="3" t="s">
        <v>344</v>
      </c>
      <c r="J70" s="3" t="s">
        <v>345</v>
      </c>
      <c r="K70" s="0" t="n">
        <v>-1000</v>
      </c>
      <c r="L70" s="0" t="n">
        <v>1000</v>
      </c>
      <c r="M70" s="0" t="n">
        <v>-1000</v>
      </c>
      <c r="N70" s="0" t="n">
        <v>1000</v>
      </c>
      <c r="O70" s="0" t="n">
        <v>-1000</v>
      </c>
      <c r="P70" s="0" t="n">
        <v>1000</v>
      </c>
    </row>
    <row r="71" customFormat="false" ht="15" hidden="false" customHeight="false" outlineLevel="0" collapsed="false">
      <c r="A71" s="3" t="s">
        <v>346</v>
      </c>
      <c r="B71" s="3" t="s">
        <v>347</v>
      </c>
      <c r="C71" s="3" t="s">
        <v>348</v>
      </c>
      <c r="D71" s="7" t="n">
        <v>2</v>
      </c>
      <c r="E71" s="3" t="s">
        <v>349</v>
      </c>
      <c r="G71" s="3" t="s">
        <v>287</v>
      </c>
      <c r="H71" s="3" t="s">
        <v>350</v>
      </c>
      <c r="I71" s="3" t="s">
        <v>351</v>
      </c>
      <c r="J71" s="3" t="s">
        <v>350</v>
      </c>
      <c r="K71" s="0" t="n">
        <v>0</v>
      </c>
      <c r="L71" s="0" t="n">
        <v>1000</v>
      </c>
      <c r="M71" s="0" t="n">
        <v>0</v>
      </c>
      <c r="N71" s="0" t="n">
        <v>1000</v>
      </c>
      <c r="O71" s="0" t="n">
        <v>0</v>
      </c>
      <c r="P71" s="0" t="n">
        <v>1000</v>
      </c>
    </row>
    <row r="72" customFormat="false" ht="15" hidden="false" customHeight="false" outlineLevel="0" collapsed="false">
      <c r="A72" s="3" t="s">
        <v>352</v>
      </c>
      <c r="B72" s="3" t="s">
        <v>353</v>
      </c>
      <c r="C72" s="3" t="s">
        <v>354</v>
      </c>
      <c r="D72" s="7" t="n">
        <v>2</v>
      </c>
      <c r="E72" s="3" t="s">
        <v>355</v>
      </c>
      <c r="G72" s="3" t="s">
        <v>308</v>
      </c>
      <c r="H72" s="3" t="s">
        <v>356</v>
      </c>
      <c r="I72" s="3" t="s">
        <v>357</v>
      </c>
      <c r="J72" s="3" t="s">
        <v>358</v>
      </c>
      <c r="K72" s="0" t="n">
        <v>-1000</v>
      </c>
      <c r="L72" s="0" t="n">
        <v>1000</v>
      </c>
      <c r="M72" s="0" t="n">
        <v>-1000</v>
      </c>
      <c r="N72" s="0" t="n">
        <v>1000</v>
      </c>
      <c r="O72" s="0" t="n">
        <v>-1000</v>
      </c>
      <c r="P72" s="0" t="n">
        <v>1000</v>
      </c>
    </row>
    <row r="73" customFormat="false" ht="15" hidden="false" customHeight="false" outlineLevel="0" collapsed="false">
      <c r="A73" s="3" t="s">
        <v>359</v>
      </c>
      <c r="B73" s="3" t="s">
        <v>360</v>
      </c>
      <c r="C73" s="3" t="s">
        <v>361</v>
      </c>
      <c r="D73" s="7" t="n">
        <v>2</v>
      </c>
      <c r="E73" s="3" t="s">
        <v>362</v>
      </c>
      <c r="G73" s="3" t="s">
        <v>308</v>
      </c>
      <c r="H73" s="3" t="s">
        <v>363</v>
      </c>
      <c r="I73" s="3" t="s">
        <v>364</v>
      </c>
      <c r="J73" s="3" t="s">
        <v>365</v>
      </c>
      <c r="K73" s="0" t="n">
        <v>-1000</v>
      </c>
      <c r="L73" s="0" t="n">
        <v>1000</v>
      </c>
      <c r="M73" s="0" t="n">
        <v>-1000</v>
      </c>
      <c r="N73" s="0" t="n">
        <v>1000</v>
      </c>
      <c r="O73" s="0" t="n">
        <v>-1000</v>
      </c>
      <c r="P73" s="0" t="n">
        <v>1000</v>
      </c>
    </row>
    <row r="74" customFormat="false" ht="15" hidden="false" customHeight="false" outlineLevel="0" collapsed="false">
      <c r="A74" s="3" t="s">
        <v>366</v>
      </c>
      <c r="B74" s="3" t="s">
        <v>367</v>
      </c>
      <c r="C74" s="3" t="s">
        <v>368</v>
      </c>
      <c r="D74" s="7" t="n">
        <v>2</v>
      </c>
      <c r="E74" s="3" t="s">
        <v>369</v>
      </c>
      <c r="G74" s="3" t="s">
        <v>370</v>
      </c>
      <c r="H74" s="3" t="s">
        <v>371</v>
      </c>
      <c r="I74" s="3" t="s">
        <v>372</v>
      </c>
      <c r="J74" s="3" t="s">
        <v>373</v>
      </c>
      <c r="K74" s="0" t="n">
        <v>-1000</v>
      </c>
      <c r="L74" s="0" t="n">
        <v>1000</v>
      </c>
      <c r="M74" s="0" t="n">
        <v>-1000</v>
      </c>
      <c r="N74" s="0" t="n">
        <v>1000</v>
      </c>
      <c r="O74" s="0" t="n">
        <v>-1000</v>
      </c>
      <c r="P74" s="0" t="n">
        <v>1000</v>
      </c>
    </row>
    <row r="75" customFormat="false" ht="15" hidden="false" customHeight="false" outlineLevel="0" collapsed="false">
      <c r="A75" s="3" t="s">
        <v>374</v>
      </c>
      <c r="B75" s="3" t="s">
        <v>375</v>
      </c>
      <c r="C75" s="3" t="s">
        <v>376</v>
      </c>
      <c r="D75" s="7" t="n">
        <v>2</v>
      </c>
      <c r="E75" s="3" t="s">
        <v>377</v>
      </c>
      <c r="G75" s="3" t="s">
        <v>378</v>
      </c>
      <c r="H75" s="3" t="s">
        <v>379</v>
      </c>
      <c r="I75" s="3" t="s">
        <v>380</v>
      </c>
      <c r="J75" s="3" t="s">
        <v>381</v>
      </c>
      <c r="K75" s="0" t="n">
        <v>-1000</v>
      </c>
      <c r="L75" s="0" t="n">
        <v>1000</v>
      </c>
      <c r="M75" s="0" t="n">
        <v>-1000</v>
      </c>
      <c r="N75" s="0" t="n">
        <v>1000</v>
      </c>
      <c r="O75" s="0" t="n">
        <v>-1000</v>
      </c>
      <c r="P75" s="0" t="n">
        <v>1000</v>
      </c>
    </row>
    <row r="76" customFormat="false" ht="15" hidden="false" customHeight="false" outlineLevel="0" collapsed="false">
      <c r="A76" s="3" t="s">
        <v>382</v>
      </c>
      <c r="B76" s="3" t="s">
        <v>383</v>
      </c>
      <c r="C76" s="3" t="s">
        <v>384</v>
      </c>
      <c r="D76" s="7" t="n">
        <v>1</v>
      </c>
      <c r="E76" s="3" t="s">
        <v>385</v>
      </c>
      <c r="G76" s="3" t="s">
        <v>386</v>
      </c>
      <c r="K76" s="0" t="n">
        <v>-1000</v>
      </c>
      <c r="L76" s="0" t="n">
        <v>1000</v>
      </c>
      <c r="M76" s="0" t="n">
        <v>-1000</v>
      </c>
      <c r="N76" s="0" t="n">
        <v>1000</v>
      </c>
      <c r="O76" s="0" t="n">
        <v>-1000</v>
      </c>
      <c r="P76" s="0" t="n">
        <v>1000</v>
      </c>
    </row>
    <row r="77" customFormat="false" ht="15" hidden="false" customHeight="false" outlineLevel="0" collapsed="false">
      <c r="A77" s="3" t="s">
        <v>387</v>
      </c>
      <c r="B77" s="3" t="s">
        <v>388</v>
      </c>
      <c r="C77" s="3" t="s">
        <v>389</v>
      </c>
      <c r="D77" s="7" t="n">
        <v>2</v>
      </c>
      <c r="E77" s="3" t="s">
        <v>390</v>
      </c>
      <c r="G77" s="3" t="s">
        <v>391</v>
      </c>
      <c r="H77" s="3" t="s">
        <v>392</v>
      </c>
      <c r="I77" s="3" t="s">
        <v>393</v>
      </c>
      <c r="J77" s="3" t="s">
        <v>392</v>
      </c>
      <c r="K77" s="0" t="n">
        <v>-1000</v>
      </c>
      <c r="L77" s="0" t="n">
        <v>1000</v>
      </c>
      <c r="M77" s="0" t="n">
        <v>-1000</v>
      </c>
      <c r="N77" s="0" t="n">
        <v>1000</v>
      </c>
      <c r="O77" s="0" t="n">
        <v>-1000</v>
      </c>
      <c r="P77" s="0" t="n">
        <v>1000</v>
      </c>
    </row>
    <row r="78" customFormat="false" ht="15" hidden="false" customHeight="false" outlineLevel="0" collapsed="false">
      <c r="A78" s="3" t="s">
        <v>394</v>
      </c>
      <c r="B78" s="3" t="s">
        <v>395</v>
      </c>
      <c r="C78" s="3" t="s">
        <v>396</v>
      </c>
      <c r="D78" s="7" t="n">
        <v>2</v>
      </c>
      <c r="E78" s="3" t="s">
        <v>397</v>
      </c>
      <c r="G78" s="3" t="s">
        <v>230</v>
      </c>
      <c r="H78" s="3" t="s">
        <v>398</v>
      </c>
      <c r="I78" s="3" t="s">
        <v>399</v>
      </c>
      <c r="J78" s="3" t="s">
        <v>400</v>
      </c>
      <c r="K78" s="0" t="n">
        <v>-1000</v>
      </c>
      <c r="L78" s="0" t="n">
        <v>1000</v>
      </c>
      <c r="M78" s="0" t="n">
        <v>-1000</v>
      </c>
      <c r="N78" s="0" t="n">
        <v>1000</v>
      </c>
      <c r="O78" s="0" t="n">
        <v>-1000</v>
      </c>
      <c r="P78" s="0" t="n">
        <v>1000</v>
      </c>
    </row>
    <row r="79" customFormat="false" ht="15" hidden="false" customHeight="false" outlineLevel="0" collapsed="false">
      <c r="A79" s="3" t="s">
        <v>401</v>
      </c>
      <c r="B79" s="3" t="s">
        <v>402</v>
      </c>
      <c r="C79" s="3" t="s">
        <v>403</v>
      </c>
      <c r="D79" s="7" t="n">
        <v>2</v>
      </c>
      <c r="E79" s="3" t="s">
        <v>404</v>
      </c>
      <c r="G79" s="3" t="s">
        <v>405</v>
      </c>
      <c r="H79" s="3" t="s">
        <v>406</v>
      </c>
      <c r="I79" s="3" t="s">
        <v>407</v>
      </c>
      <c r="J79" s="3" t="s">
        <v>406</v>
      </c>
      <c r="K79" s="0" t="n">
        <v>0</v>
      </c>
      <c r="L79" s="0" t="n">
        <v>1000</v>
      </c>
      <c r="M79" s="0" t="n">
        <v>0</v>
      </c>
      <c r="N79" s="0" t="n">
        <v>1000</v>
      </c>
      <c r="O79" s="0" t="n">
        <v>0</v>
      </c>
      <c r="P79" s="0" t="n">
        <v>1000</v>
      </c>
    </row>
    <row r="80" customFormat="false" ht="15" hidden="false" customHeight="false" outlineLevel="0" collapsed="false">
      <c r="A80" s="3" t="s">
        <v>408</v>
      </c>
      <c r="B80" s="3" t="s">
        <v>409</v>
      </c>
      <c r="C80" s="3" t="s">
        <v>410</v>
      </c>
      <c r="D80" s="7" t="n">
        <v>1</v>
      </c>
      <c r="E80" s="3" t="s">
        <v>411</v>
      </c>
      <c r="G80" s="3" t="s">
        <v>251</v>
      </c>
      <c r="K80" s="0" t="n">
        <v>0</v>
      </c>
      <c r="L80" s="0" t="n">
        <v>1000</v>
      </c>
      <c r="M80" s="0" t="n">
        <v>0</v>
      </c>
      <c r="N80" s="0" t="n">
        <v>1000</v>
      </c>
      <c r="O80" s="0" t="n">
        <v>0</v>
      </c>
      <c r="P80" s="0" t="n">
        <v>1000</v>
      </c>
    </row>
    <row r="81" customFormat="false" ht="15" hidden="false" customHeight="false" outlineLevel="0" collapsed="false">
      <c r="A81" s="3" t="s">
        <v>412</v>
      </c>
      <c r="B81" s="3" t="s">
        <v>413</v>
      </c>
      <c r="C81" s="3" t="s">
        <v>414</v>
      </c>
      <c r="D81" s="7" t="n">
        <v>2</v>
      </c>
      <c r="E81" s="3" t="s">
        <v>415</v>
      </c>
      <c r="G81" s="3" t="s">
        <v>301</v>
      </c>
      <c r="H81" s="3" t="s">
        <v>416</v>
      </c>
      <c r="I81" s="3" t="s">
        <v>417</v>
      </c>
      <c r="J81" s="3" t="s">
        <v>418</v>
      </c>
      <c r="K81" s="0" t="n">
        <v>-1000</v>
      </c>
      <c r="L81" s="0" t="n">
        <v>1000</v>
      </c>
      <c r="M81" s="0" t="n">
        <v>-1000</v>
      </c>
      <c r="N81" s="0" t="n">
        <v>1000</v>
      </c>
      <c r="O81" s="0" t="n">
        <v>-1000</v>
      </c>
      <c r="P81" s="0" t="n">
        <v>1000</v>
      </c>
    </row>
    <row r="82" customFormat="false" ht="15" hidden="false" customHeight="false" outlineLevel="0" collapsed="false">
      <c r="A82" s="3" t="s">
        <v>419</v>
      </c>
      <c r="B82" s="3" t="s">
        <v>420</v>
      </c>
      <c r="C82" s="3" t="s">
        <v>421</v>
      </c>
      <c r="D82" s="7" t="n">
        <v>2</v>
      </c>
      <c r="E82" s="3" t="s">
        <v>422</v>
      </c>
      <c r="G82" s="3" t="s">
        <v>423</v>
      </c>
      <c r="H82" s="3" t="s">
        <v>424</v>
      </c>
      <c r="I82" s="3" t="s">
        <v>425</v>
      </c>
      <c r="J82" s="3" t="s">
        <v>426</v>
      </c>
      <c r="K82" s="0" t="n">
        <v>0</v>
      </c>
      <c r="L82" s="0" t="n">
        <v>1000</v>
      </c>
      <c r="M82" s="0" t="n">
        <v>0</v>
      </c>
      <c r="N82" s="0" t="n">
        <v>1000</v>
      </c>
      <c r="O82" s="0" t="n">
        <v>0</v>
      </c>
      <c r="P82" s="0" t="n">
        <v>1000</v>
      </c>
    </row>
    <row r="83" customFormat="false" ht="15" hidden="false" customHeight="false" outlineLevel="0" collapsed="false">
      <c r="A83" s="3" t="s">
        <v>427</v>
      </c>
      <c r="B83" s="3" t="s">
        <v>428</v>
      </c>
      <c r="C83" s="3" t="s">
        <v>429</v>
      </c>
      <c r="D83" s="7" t="n">
        <v>2</v>
      </c>
      <c r="E83" s="3" t="s">
        <v>430</v>
      </c>
      <c r="G83" s="3" t="s">
        <v>423</v>
      </c>
      <c r="H83" s="3" t="s">
        <v>431</v>
      </c>
      <c r="I83" s="3" t="s">
        <v>432</v>
      </c>
      <c r="J83" s="3" t="s">
        <v>433</v>
      </c>
      <c r="K83" s="0" t="n">
        <v>-1000</v>
      </c>
      <c r="L83" s="0" t="n">
        <v>1000</v>
      </c>
      <c r="M83" s="0" t="n">
        <v>-1000</v>
      </c>
      <c r="N83" s="0" t="n">
        <v>1000</v>
      </c>
      <c r="O83" s="0" t="n">
        <v>-1000</v>
      </c>
      <c r="P83" s="0" t="n">
        <v>1000</v>
      </c>
    </row>
    <row r="84" customFormat="false" ht="15" hidden="false" customHeight="false" outlineLevel="0" collapsed="false">
      <c r="A84" s="3" t="s">
        <v>434</v>
      </c>
      <c r="B84" s="3" t="s">
        <v>435</v>
      </c>
      <c r="C84" s="3" t="s">
        <v>436</v>
      </c>
      <c r="D84" s="7" t="n">
        <v>2</v>
      </c>
      <c r="E84" s="3" t="s">
        <v>437</v>
      </c>
      <c r="G84" s="3" t="s">
        <v>438</v>
      </c>
      <c r="H84" s="3" t="s">
        <v>439</v>
      </c>
      <c r="I84" s="3" t="s">
        <v>440</v>
      </c>
      <c r="J84" s="3" t="s">
        <v>441</v>
      </c>
      <c r="K84" s="0" t="n">
        <v>-1000</v>
      </c>
      <c r="L84" s="0" t="n">
        <v>1000</v>
      </c>
      <c r="M84" s="0" t="n">
        <v>-1000</v>
      </c>
      <c r="N84" s="0" t="n">
        <v>1000</v>
      </c>
      <c r="O84" s="0" t="n">
        <v>-1000</v>
      </c>
      <c r="P84" s="0" t="n">
        <v>1000</v>
      </c>
    </row>
    <row r="85" customFormat="false" ht="15" hidden="false" customHeight="false" outlineLevel="0" collapsed="false">
      <c r="A85" s="3" t="s">
        <v>442</v>
      </c>
      <c r="B85" s="3" t="s">
        <v>443</v>
      </c>
      <c r="C85" s="3" t="s">
        <v>444</v>
      </c>
      <c r="D85" s="7" t="n">
        <v>2</v>
      </c>
      <c r="E85" s="3" t="s">
        <v>445</v>
      </c>
      <c r="G85" s="3" t="s">
        <v>446</v>
      </c>
      <c r="H85" s="3" t="s">
        <v>447</v>
      </c>
      <c r="I85" s="3" t="s">
        <v>448</v>
      </c>
      <c r="J85" s="3" t="s">
        <v>449</v>
      </c>
      <c r="K85" s="0" t="n">
        <v>-1000</v>
      </c>
      <c r="L85" s="0" t="n">
        <v>1000</v>
      </c>
      <c r="M85" s="0" t="n">
        <v>-1000</v>
      </c>
      <c r="N85" s="0" t="n">
        <v>1000</v>
      </c>
      <c r="O85" s="0" t="n">
        <v>-1000</v>
      </c>
      <c r="P85" s="0" t="n">
        <v>1000</v>
      </c>
    </row>
    <row r="86" customFormat="false" ht="15" hidden="false" customHeight="false" outlineLevel="0" collapsed="false">
      <c r="A86" s="3" t="s">
        <v>450</v>
      </c>
      <c r="B86" s="3" t="s">
        <v>451</v>
      </c>
      <c r="C86" s="3" t="s">
        <v>452</v>
      </c>
      <c r="D86" s="7" t="n">
        <v>2</v>
      </c>
      <c r="E86" s="3" t="s">
        <v>453</v>
      </c>
      <c r="G86" s="3" t="s">
        <v>287</v>
      </c>
      <c r="H86" s="3" t="s">
        <v>454</v>
      </c>
      <c r="I86" s="3" t="s">
        <v>455</v>
      </c>
      <c r="J86" s="3" t="s">
        <v>454</v>
      </c>
      <c r="K86" s="0" t="n">
        <v>0</v>
      </c>
      <c r="L86" s="0" t="n">
        <v>1000</v>
      </c>
      <c r="M86" s="0" t="n">
        <v>0</v>
      </c>
      <c r="N86" s="0" t="n">
        <v>1000</v>
      </c>
      <c r="O86" s="0" t="n">
        <v>0</v>
      </c>
      <c r="P86" s="0" t="n">
        <v>1000</v>
      </c>
    </row>
    <row r="87" customFormat="false" ht="15" hidden="false" customHeight="false" outlineLevel="0" collapsed="false">
      <c r="A87" s="3" t="s">
        <v>456</v>
      </c>
      <c r="B87" s="3" t="s">
        <v>457</v>
      </c>
      <c r="C87" s="3" t="s">
        <v>458</v>
      </c>
      <c r="D87" s="7" t="n">
        <v>2</v>
      </c>
      <c r="E87" s="3" t="s">
        <v>459</v>
      </c>
      <c r="G87" s="3" t="s">
        <v>177</v>
      </c>
      <c r="H87" s="3" t="s">
        <v>460</v>
      </c>
      <c r="I87" s="3" t="s">
        <v>461</v>
      </c>
      <c r="J87" s="3" t="s">
        <v>462</v>
      </c>
      <c r="K87" s="0" t="n">
        <v>-1000</v>
      </c>
      <c r="L87" s="0" t="n">
        <v>1000</v>
      </c>
      <c r="M87" s="0" t="n">
        <v>-1000</v>
      </c>
      <c r="N87" s="0" t="n">
        <v>1000</v>
      </c>
      <c r="O87" s="0" t="n">
        <v>-1000</v>
      </c>
      <c r="P87" s="0" t="n">
        <v>1000</v>
      </c>
    </row>
    <row r="88" customFormat="false" ht="15" hidden="false" customHeight="false" outlineLevel="0" collapsed="false">
      <c r="A88" s="3" t="s">
        <v>463</v>
      </c>
      <c r="B88" s="3" t="s">
        <v>464</v>
      </c>
      <c r="C88" s="3" t="s">
        <v>465</v>
      </c>
      <c r="D88" s="7" t="n">
        <v>2</v>
      </c>
      <c r="E88" s="3" t="s">
        <v>466</v>
      </c>
      <c r="G88" s="3" t="s">
        <v>177</v>
      </c>
      <c r="H88" s="3" t="s">
        <v>467</v>
      </c>
      <c r="I88" s="3" t="s">
        <v>468</v>
      </c>
      <c r="J88" s="3" t="s">
        <v>469</v>
      </c>
      <c r="K88" s="0" t="n">
        <v>0</v>
      </c>
      <c r="L88" s="0" t="n">
        <v>1000</v>
      </c>
      <c r="M88" s="0" t="n">
        <v>0</v>
      </c>
      <c r="N88" s="0" t="n">
        <v>1000</v>
      </c>
      <c r="O88" s="0" t="n">
        <v>0</v>
      </c>
      <c r="P88" s="0" t="n">
        <v>1000</v>
      </c>
    </row>
    <row r="89" customFormat="false" ht="15" hidden="false" customHeight="false" outlineLevel="0" collapsed="false">
      <c r="A89" s="3" t="s">
        <v>470</v>
      </c>
      <c r="B89" s="3" t="s">
        <v>471</v>
      </c>
      <c r="C89" s="3" t="s">
        <v>472</v>
      </c>
      <c r="D89" s="7" t="n">
        <v>2</v>
      </c>
      <c r="E89" s="3" t="s">
        <v>473</v>
      </c>
      <c r="G89" s="3" t="s">
        <v>177</v>
      </c>
      <c r="H89" s="3" t="s">
        <v>474</v>
      </c>
      <c r="I89" s="3" t="s">
        <v>475</v>
      </c>
      <c r="J89" s="3" t="s">
        <v>476</v>
      </c>
      <c r="K89" s="0" t="n">
        <v>0</v>
      </c>
      <c r="L89" s="0" t="n">
        <v>1000</v>
      </c>
      <c r="M89" s="0" t="n">
        <v>0</v>
      </c>
      <c r="N89" s="0" t="n">
        <v>1000</v>
      </c>
      <c r="O89" s="0" t="n">
        <v>0</v>
      </c>
      <c r="P89" s="0" t="n">
        <v>1000</v>
      </c>
    </row>
    <row r="90" customFormat="false" ht="15" hidden="false" customHeight="false" outlineLevel="0" collapsed="false">
      <c r="A90" s="3" t="s">
        <v>477</v>
      </c>
      <c r="B90" s="3" t="s">
        <v>478</v>
      </c>
      <c r="C90" s="3" t="s">
        <v>479</v>
      </c>
      <c r="D90" s="7" t="n">
        <v>2</v>
      </c>
      <c r="E90" s="3" t="s">
        <v>480</v>
      </c>
      <c r="G90" s="3" t="s">
        <v>481</v>
      </c>
      <c r="H90" s="3" t="s">
        <v>482</v>
      </c>
      <c r="I90" s="3" t="s">
        <v>483</v>
      </c>
      <c r="J90" s="3" t="s">
        <v>484</v>
      </c>
      <c r="K90" s="0" t="n">
        <v>-1000</v>
      </c>
      <c r="L90" s="0" t="n">
        <v>1000</v>
      </c>
      <c r="M90" s="0" t="n">
        <v>-1000</v>
      </c>
      <c r="N90" s="0" t="n">
        <v>1000</v>
      </c>
      <c r="O90" s="0" t="n">
        <v>-1000</v>
      </c>
      <c r="P90" s="0" t="n">
        <v>1000</v>
      </c>
    </row>
    <row r="91" customFormat="false" ht="15" hidden="false" customHeight="false" outlineLevel="0" collapsed="false">
      <c r="A91" s="3" t="s">
        <v>485</v>
      </c>
      <c r="B91" s="3" t="s">
        <v>486</v>
      </c>
      <c r="C91" s="3" t="s">
        <v>487</v>
      </c>
      <c r="D91" s="7" t="n">
        <v>2</v>
      </c>
      <c r="E91" s="3" t="s">
        <v>488</v>
      </c>
      <c r="G91" s="3" t="s">
        <v>378</v>
      </c>
      <c r="H91" s="3" t="s">
        <v>489</v>
      </c>
      <c r="I91" s="3" t="s">
        <v>490</v>
      </c>
      <c r="J91" s="3" t="s">
        <v>491</v>
      </c>
      <c r="K91" s="0" t="n">
        <v>0</v>
      </c>
      <c r="L91" s="0" t="n">
        <v>1000</v>
      </c>
      <c r="M91" s="0" t="n">
        <v>0</v>
      </c>
      <c r="N91" s="0" t="n">
        <v>1000</v>
      </c>
      <c r="O91" s="0" t="n">
        <v>0</v>
      </c>
      <c r="P91" s="0" t="n">
        <v>1000</v>
      </c>
    </row>
    <row r="92" customFormat="false" ht="15" hidden="false" customHeight="false" outlineLevel="0" collapsed="false">
      <c r="A92" s="3" t="s">
        <v>492</v>
      </c>
      <c r="B92" s="3" t="s">
        <v>493</v>
      </c>
      <c r="C92" s="3" t="s">
        <v>494</v>
      </c>
      <c r="D92" s="7" t="n">
        <v>2</v>
      </c>
      <c r="E92" s="3" t="s">
        <v>495</v>
      </c>
      <c r="G92" s="3" t="s">
        <v>230</v>
      </c>
      <c r="H92" s="3" t="s">
        <v>496</v>
      </c>
      <c r="I92" s="3" t="s">
        <v>497</v>
      </c>
      <c r="J92" s="3" t="s">
        <v>498</v>
      </c>
      <c r="K92" s="0" t="n">
        <v>0</v>
      </c>
      <c r="L92" s="0" t="n">
        <v>1000</v>
      </c>
      <c r="M92" s="0" t="n">
        <v>0</v>
      </c>
      <c r="N92" s="0" t="n">
        <v>1000</v>
      </c>
      <c r="O92" s="0" t="n">
        <v>0</v>
      </c>
      <c r="P92" s="0" t="n">
        <v>1000</v>
      </c>
    </row>
    <row r="93" customFormat="false" ht="15" hidden="false" customHeight="false" outlineLevel="0" collapsed="false">
      <c r="A93" s="3" t="s">
        <v>499</v>
      </c>
      <c r="B93" s="3" t="s">
        <v>500</v>
      </c>
      <c r="C93" s="3" t="s">
        <v>501</v>
      </c>
      <c r="D93" s="7" t="n">
        <v>2</v>
      </c>
      <c r="E93" s="3" t="s">
        <v>502</v>
      </c>
      <c r="G93" s="3" t="s">
        <v>308</v>
      </c>
      <c r="H93" s="3" t="s">
        <v>503</v>
      </c>
      <c r="I93" s="3" t="s">
        <v>504</v>
      </c>
      <c r="J93" s="3" t="s">
        <v>505</v>
      </c>
      <c r="K93" s="0" t="n">
        <v>0</v>
      </c>
      <c r="L93" s="0" t="n">
        <v>1000</v>
      </c>
      <c r="M93" s="0" t="n">
        <v>0</v>
      </c>
      <c r="N93" s="0" t="n">
        <v>1000</v>
      </c>
      <c r="O93" s="0" t="n">
        <v>0</v>
      </c>
      <c r="P93" s="0" t="n">
        <v>1000</v>
      </c>
    </row>
    <row r="94" customFormat="false" ht="15" hidden="false" customHeight="false" outlineLevel="0" collapsed="false">
      <c r="A94" s="3" t="s">
        <v>506</v>
      </c>
      <c r="B94" s="3" t="s">
        <v>507</v>
      </c>
      <c r="C94" s="3" t="s">
        <v>508</v>
      </c>
      <c r="D94" s="7" t="n">
        <v>2</v>
      </c>
      <c r="E94" s="3" t="s">
        <v>509</v>
      </c>
      <c r="G94" s="3" t="s">
        <v>481</v>
      </c>
      <c r="H94" s="3" t="s">
        <v>510</v>
      </c>
      <c r="I94" s="3" t="s">
        <v>511</v>
      </c>
      <c r="J94" s="3" t="s">
        <v>510</v>
      </c>
      <c r="K94" s="0" t="n">
        <v>-1000</v>
      </c>
      <c r="L94" s="0" t="n">
        <v>1000</v>
      </c>
      <c r="M94" s="0" t="n">
        <v>-1000</v>
      </c>
      <c r="N94" s="0" t="n">
        <v>1000</v>
      </c>
      <c r="O94" s="0" t="n">
        <v>-1000</v>
      </c>
      <c r="P94" s="0" t="n">
        <v>1000</v>
      </c>
    </row>
    <row r="95" customFormat="false" ht="15" hidden="false" customHeight="false" outlineLevel="0" collapsed="false">
      <c r="A95" s="3" t="s">
        <v>512</v>
      </c>
      <c r="B95" s="3" t="s">
        <v>513</v>
      </c>
      <c r="C95" s="3" t="s">
        <v>514</v>
      </c>
      <c r="D95" s="7" t="n">
        <v>2</v>
      </c>
      <c r="E95" s="3" t="s">
        <v>515</v>
      </c>
      <c r="G95" s="3" t="s">
        <v>516</v>
      </c>
      <c r="H95" s="3" t="s">
        <v>517</v>
      </c>
      <c r="I95" s="3" t="s">
        <v>518</v>
      </c>
      <c r="J95" s="3" t="s">
        <v>519</v>
      </c>
      <c r="K95" s="0" t="n">
        <v>0</v>
      </c>
      <c r="L95" s="0" t="n">
        <v>1000</v>
      </c>
      <c r="M95" s="0" t="n">
        <v>0</v>
      </c>
      <c r="N95" s="0" t="n">
        <v>1000</v>
      </c>
      <c r="O95" s="0" t="n">
        <v>0</v>
      </c>
      <c r="P95" s="0" t="n">
        <v>1000</v>
      </c>
    </row>
    <row r="96" customFormat="false" ht="15" hidden="false" customHeight="false" outlineLevel="0" collapsed="false">
      <c r="A96" s="3" t="s">
        <v>520</v>
      </c>
      <c r="B96" s="3" t="s">
        <v>513</v>
      </c>
      <c r="C96" s="3" t="s">
        <v>521</v>
      </c>
      <c r="D96" s="7" t="n">
        <v>2</v>
      </c>
      <c r="E96" s="3" t="s">
        <v>515</v>
      </c>
      <c r="G96" s="3" t="s">
        <v>516</v>
      </c>
      <c r="H96" s="3" t="s">
        <v>517</v>
      </c>
      <c r="I96" s="3" t="s">
        <v>518</v>
      </c>
      <c r="J96" s="3" t="s">
        <v>519</v>
      </c>
      <c r="K96" s="0" t="n">
        <v>0</v>
      </c>
      <c r="L96" s="0" t="n">
        <v>1000</v>
      </c>
      <c r="M96" s="0" t="n">
        <v>0</v>
      </c>
      <c r="N96" s="0" t="n">
        <v>1000</v>
      </c>
      <c r="O96" s="0" t="n">
        <v>0</v>
      </c>
      <c r="P96" s="0" t="n">
        <v>1000</v>
      </c>
    </row>
    <row r="97" customFormat="false" ht="15" hidden="false" customHeight="false" outlineLevel="0" collapsed="false">
      <c r="A97" s="3" t="s">
        <v>522</v>
      </c>
      <c r="B97" s="3" t="s">
        <v>523</v>
      </c>
      <c r="C97" s="3" t="s">
        <v>524</v>
      </c>
      <c r="D97" s="7" t="n">
        <v>2</v>
      </c>
      <c r="E97" s="3" t="s">
        <v>525</v>
      </c>
      <c r="G97" s="3" t="s">
        <v>378</v>
      </c>
      <c r="H97" s="3" t="s">
        <v>526</v>
      </c>
      <c r="I97" s="3" t="s">
        <v>527</v>
      </c>
      <c r="J97" s="3" t="s">
        <v>528</v>
      </c>
      <c r="K97" s="0" t="n">
        <v>-1000</v>
      </c>
      <c r="L97" s="0" t="n">
        <v>1000</v>
      </c>
      <c r="M97" s="0" t="n">
        <v>-1000</v>
      </c>
      <c r="N97" s="0" t="n">
        <v>1000</v>
      </c>
      <c r="O97" s="0" t="n">
        <v>-1000</v>
      </c>
      <c r="P97" s="0" t="n">
        <v>1000</v>
      </c>
    </row>
    <row r="98" customFormat="false" ht="15" hidden="false" customHeight="false" outlineLevel="0" collapsed="false">
      <c r="A98" s="3" t="s">
        <v>529</v>
      </c>
      <c r="B98" s="3" t="s">
        <v>530</v>
      </c>
      <c r="C98" s="3" t="s">
        <v>531</v>
      </c>
      <c r="D98" s="7" t="n">
        <v>1</v>
      </c>
      <c r="G98" s="3" t="s">
        <v>532</v>
      </c>
      <c r="K98" s="0" t="n">
        <v>3.475</v>
      </c>
      <c r="L98" s="0" t="n">
        <v>3.475</v>
      </c>
      <c r="M98" s="0" t="n">
        <v>3.475</v>
      </c>
      <c r="N98" s="0" t="n">
        <v>3.475</v>
      </c>
      <c r="O98" s="0" t="n">
        <v>3.475</v>
      </c>
      <c r="P98" s="0" t="n">
        <v>3.475</v>
      </c>
    </row>
    <row r="99" customFormat="false" ht="15" hidden="false" customHeight="false" outlineLevel="0" collapsed="false">
      <c r="A99" s="3" t="s">
        <v>533</v>
      </c>
      <c r="B99" s="3" t="s">
        <v>534</v>
      </c>
      <c r="C99" s="3" t="s">
        <v>535</v>
      </c>
      <c r="D99" s="7" t="n">
        <v>2</v>
      </c>
      <c r="E99" s="3" t="s">
        <v>536</v>
      </c>
      <c r="G99" s="3" t="s">
        <v>537</v>
      </c>
      <c r="H99" s="3" t="s">
        <v>538</v>
      </c>
      <c r="I99" s="3" t="s">
        <v>539</v>
      </c>
      <c r="J99" s="3" t="s">
        <v>540</v>
      </c>
      <c r="K99" s="0" t="n">
        <v>-1000</v>
      </c>
      <c r="L99" s="0" t="n">
        <v>1000</v>
      </c>
      <c r="M99" s="0" t="n">
        <v>-1000</v>
      </c>
      <c r="N99" s="0" t="n">
        <v>1000</v>
      </c>
      <c r="O99" s="0" t="n">
        <v>-1000</v>
      </c>
      <c r="P99" s="0" t="n">
        <v>1000</v>
      </c>
    </row>
    <row r="100" customFormat="false" ht="15" hidden="false" customHeight="false" outlineLevel="0" collapsed="false">
      <c r="A100" s="3" t="s">
        <v>541</v>
      </c>
      <c r="B100" s="3" t="s">
        <v>542</v>
      </c>
      <c r="C100" s="3" t="s">
        <v>543</v>
      </c>
      <c r="D100" s="7" t="n">
        <v>3</v>
      </c>
      <c r="F100" s="7" t="n">
        <v>19703284</v>
      </c>
      <c r="G100" s="3" t="s">
        <v>544</v>
      </c>
      <c r="H100" s="3" t="s">
        <v>545</v>
      </c>
      <c r="I100" s="3" t="s">
        <v>546</v>
      </c>
      <c r="J100" s="3" t="s">
        <v>547</v>
      </c>
      <c r="K100" s="0" t="n">
        <v>0</v>
      </c>
      <c r="L100" s="0" t="n">
        <v>1000</v>
      </c>
      <c r="M100" s="0" t="n">
        <v>0</v>
      </c>
      <c r="N100" s="0" t="n">
        <v>1000</v>
      </c>
      <c r="O100" s="0" t="n">
        <v>0</v>
      </c>
      <c r="P100" s="0" t="n">
        <v>1000</v>
      </c>
    </row>
    <row r="101" customFormat="false" ht="15" hidden="false" customHeight="false" outlineLevel="0" collapsed="false">
      <c r="A101" s="3" t="s">
        <v>548</v>
      </c>
      <c r="B101" s="3" t="s">
        <v>549</v>
      </c>
      <c r="C101" s="3" t="s">
        <v>550</v>
      </c>
      <c r="D101" s="7" t="n">
        <v>3</v>
      </c>
      <c r="G101" s="3" t="s">
        <v>551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3" t="s">
        <v>552</v>
      </c>
      <c r="B102" s="3" t="s">
        <v>553</v>
      </c>
      <c r="C102" s="3" t="s">
        <v>554</v>
      </c>
      <c r="D102" s="7" t="n">
        <v>1</v>
      </c>
      <c r="E102" s="3" t="s">
        <v>555</v>
      </c>
      <c r="F102" s="7" t="n">
        <v>19077236</v>
      </c>
      <c r="G102" s="3" t="s">
        <v>556</v>
      </c>
      <c r="K102" s="0" t="n">
        <v>-1000</v>
      </c>
      <c r="L102" s="0" t="n">
        <v>1000</v>
      </c>
      <c r="M102" s="0" t="n">
        <v>-1000</v>
      </c>
      <c r="N102" s="0" t="n">
        <v>1000</v>
      </c>
      <c r="O102" s="0" t="n">
        <v>-1000</v>
      </c>
      <c r="P102" s="0" t="n">
        <v>1000</v>
      </c>
    </row>
    <row r="103" customFormat="false" ht="15" hidden="false" customHeight="false" outlineLevel="0" collapsed="false">
      <c r="A103" s="3" t="s">
        <v>557</v>
      </c>
      <c r="B103" s="3" t="s">
        <v>558</v>
      </c>
      <c r="C103" s="3" t="s">
        <v>559</v>
      </c>
      <c r="D103" s="7" t="n">
        <v>3</v>
      </c>
      <c r="E103" s="3" t="s">
        <v>560</v>
      </c>
      <c r="F103" s="7" t="n">
        <v>238956</v>
      </c>
      <c r="G103" s="3" t="s">
        <v>204</v>
      </c>
      <c r="H103" s="3" t="s">
        <v>561</v>
      </c>
      <c r="I103" s="3" t="s">
        <v>562</v>
      </c>
      <c r="J103" s="3" t="s">
        <v>563</v>
      </c>
      <c r="K103" s="0" t="n">
        <v>-1000</v>
      </c>
      <c r="L103" s="0" t="n">
        <v>1000</v>
      </c>
      <c r="M103" s="0" t="n">
        <v>-1000</v>
      </c>
      <c r="N103" s="0" t="n">
        <v>1000</v>
      </c>
      <c r="O103" s="0" t="n">
        <v>-1000</v>
      </c>
      <c r="P103" s="0" t="n">
        <v>1000</v>
      </c>
    </row>
    <row r="104" customFormat="false" ht="15" hidden="false" customHeight="false" outlineLevel="0" collapsed="false">
      <c r="A104" s="3" t="s">
        <v>564</v>
      </c>
      <c r="B104" s="3" t="s">
        <v>558</v>
      </c>
      <c r="C104" s="3" t="s">
        <v>565</v>
      </c>
      <c r="D104" s="7" t="n">
        <v>3</v>
      </c>
      <c r="E104" s="3" t="s">
        <v>560</v>
      </c>
      <c r="F104" s="7" t="n">
        <v>238956</v>
      </c>
      <c r="G104" s="3" t="s">
        <v>204</v>
      </c>
      <c r="H104" s="3" t="s">
        <v>561</v>
      </c>
      <c r="I104" s="3" t="s">
        <v>562</v>
      </c>
      <c r="J104" s="3" t="s">
        <v>563</v>
      </c>
      <c r="K104" s="0" t="n">
        <v>-1000</v>
      </c>
      <c r="L104" s="0" t="n">
        <v>1000</v>
      </c>
      <c r="M104" s="0" t="n">
        <v>-1000</v>
      </c>
      <c r="N104" s="0" t="n">
        <v>1000</v>
      </c>
      <c r="O104" s="0" t="n">
        <v>-1000</v>
      </c>
      <c r="P104" s="0" t="n">
        <v>1000</v>
      </c>
    </row>
    <row r="105" customFormat="false" ht="15" hidden="false" customHeight="false" outlineLevel="0" collapsed="false">
      <c r="A105" s="3" t="s">
        <v>566</v>
      </c>
      <c r="B105" s="3" t="s">
        <v>558</v>
      </c>
      <c r="C105" s="3" t="s">
        <v>567</v>
      </c>
      <c r="D105" s="7" t="n">
        <v>3</v>
      </c>
      <c r="E105" s="3" t="s">
        <v>560</v>
      </c>
      <c r="F105" s="7" t="n">
        <v>238956</v>
      </c>
      <c r="G105" s="3" t="s">
        <v>204</v>
      </c>
      <c r="H105" s="3" t="s">
        <v>561</v>
      </c>
      <c r="I105" s="3" t="s">
        <v>562</v>
      </c>
      <c r="J105" s="3" t="s">
        <v>563</v>
      </c>
      <c r="K105" s="0" t="n">
        <v>-1000</v>
      </c>
      <c r="L105" s="0" t="n">
        <v>1000</v>
      </c>
      <c r="M105" s="0" t="n">
        <v>-1000</v>
      </c>
      <c r="N105" s="0" t="n">
        <v>1000</v>
      </c>
      <c r="O105" s="0" t="n">
        <v>-1000</v>
      </c>
      <c r="P105" s="0" t="n">
        <v>1000</v>
      </c>
    </row>
    <row r="106" customFormat="false" ht="15" hidden="false" customHeight="false" outlineLevel="0" collapsed="false">
      <c r="A106" s="3" t="s">
        <v>568</v>
      </c>
      <c r="B106" s="3" t="s">
        <v>558</v>
      </c>
      <c r="C106" s="3" t="s">
        <v>569</v>
      </c>
      <c r="D106" s="7" t="n">
        <v>3</v>
      </c>
      <c r="E106" s="3" t="s">
        <v>560</v>
      </c>
      <c r="F106" s="7" t="n">
        <v>238956</v>
      </c>
      <c r="G106" s="3" t="s">
        <v>204</v>
      </c>
      <c r="H106" s="3" t="s">
        <v>561</v>
      </c>
      <c r="I106" s="3" t="s">
        <v>562</v>
      </c>
      <c r="J106" s="3" t="s">
        <v>563</v>
      </c>
      <c r="K106" s="0" t="n">
        <v>-1000</v>
      </c>
      <c r="L106" s="0" t="n">
        <v>1000</v>
      </c>
      <c r="M106" s="0" t="n">
        <v>-1000</v>
      </c>
      <c r="N106" s="0" t="n">
        <v>1000</v>
      </c>
      <c r="O106" s="0" t="n">
        <v>-1000</v>
      </c>
      <c r="P106" s="0" t="n">
        <v>1000</v>
      </c>
    </row>
    <row r="107" customFormat="false" ht="15" hidden="false" customHeight="false" outlineLevel="0" collapsed="false">
      <c r="A107" s="3" t="s">
        <v>570</v>
      </c>
      <c r="B107" s="3" t="s">
        <v>558</v>
      </c>
      <c r="C107" s="3" t="s">
        <v>571</v>
      </c>
      <c r="D107" s="7" t="n">
        <v>3</v>
      </c>
      <c r="E107" s="3" t="s">
        <v>560</v>
      </c>
      <c r="F107" s="7" t="n">
        <v>238956</v>
      </c>
      <c r="G107" s="3" t="s">
        <v>204</v>
      </c>
      <c r="H107" s="3" t="s">
        <v>561</v>
      </c>
      <c r="I107" s="3" t="s">
        <v>562</v>
      </c>
      <c r="J107" s="3" t="s">
        <v>563</v>
      </c>
      <c r="K107" s="0" t="n">
        <v>-1000</v>
      </c>
      <c r="L107" s="0" t="n">
        <v>1000</v>
      </c>
      <c r="M107" s="0" t="n">
        <v>-1000</v>
      </c>
      <c r="N107" s="0" t="n">
        <v>1000</v>
      </c>
      <c r="O107" s="0" t="n">
        <v>-1000</v>
      </c>
      <c r="P107" s="0" t="n">
        <v>1000</v>
      </c>
    </row>
    <row r="108" customFormat="false" ht="15" hidden="false" customHeight="false" outlineLevel="0" collapsed="false">
      <c r="A108" s="3" t="s">
        <v>572</v>
      </c>
      <c r="B108" s="3" t="s">
        <v>558</v>
      </c>
      <c r="C108" s="3" t="s">
        <v>573</v>
      </c>
      <c r="D108" s="7" t="n">
        <v>3</v>
      </c>
      <c r="E108" s="3" t="s">
        <v>560</v>
      </c>
      <c r="F108" s="7" t="n">
        <v>238956</v>
      </c>
      <c r="G108" s="3" t="s">
        <v>204</v>
      </c>
      <c r="H108" s="3" t="s">
        <v>561</v>
      </c>
      <c r="I108" s="3" t="s">
        <v>562</v>
      </c>
      <c r="J108" s="3" t="s">
        <v>563</v>
      </c>
      <c r="K108" s="0" t="n">
        <v>-1000</v>
      </c>
      <c r="L108" s="0" t="n">
        <v>1000</v>
      </c>
      <c r="M108" s="0" t="n">
        <v>-1000</v>
      </c>
      <c r="N108" s="0" t="n">
        <v>1000</v>
      </c>
      <c r="O108" s="0" t="n">
        <v>-1000</v>
      </c>
      <c r="P108" s="0" t="n">
        <v>1000</v>
      </c>
    </row>
    <row r="109" customFormat="false" ht="15" hidden="false" customHeight="false" outlineLevel="0" collapsed="false">
      <c r="A109" s="3" t="s">
        <v>574</v>
      </c>
      <c r="B109" s="3" t="s">
        <v>558</v>
      </c>
      <c r="C109" s="3" t="s">
        <v>575</v>
      </c>
      <c r="D109" s="7" t="n">
        <v>3</v>
      </c>
      <c r="E109" s="3" t="s">
        <v>560</v>
      </c>
      <c r="F109" s="7" t="n">
        <v>238956</v>
      </c>
      <c r="G109" s="3" t="s">
        <v>204</v>
      </c>
      <c r="H109" s="3" t="s">
        <v>561</v>
      </c>
      <c r="I109" s="3" t="s">
        <v>562</v>
      </c>
      <c r="J109" s="3" t="s">
        <v>563</v>
      </c>
      <c r="K109" s="0" t="n">
        <v>-1000</v>
      </c>
      <c r="L109" s="0" t="n">
        <v>1000</v>
      </c>
      <c r="M109" s="0" t="n">
        <v>-1000</v>
      </c>
      <c r="N109" s="0" t="n">
        <v>1000</v>
      </c>
      <c r="O109" s="0" t="n">
        <v>-1000</v>
      </c>
      <c r="P109" s="0" t="n">
        <v>1000</v>
      </c>
    </row>
    <row r="110" customFormat="false" ht="15" hidden="false" customHeight="false" outlineLevel="0" collapsed="false">
      <c r="A110" s="3" t="s">
        <v>576</v>
      </c>
      <c r="B110" s="3" t="s">
        <v>558</v>
      </c>
      <c r="C110" s="3" t="s">
        <v>577</v>
      </c>
      <c r="D110" s="7" t="n">
        <v>3</v>
      </c>
      <c r="E110" s="3" t="s">
        <v>560</v>
      </c>
      <c r="F110" s="7" t="n">
        <v>238956</v>
      </c>
      <c r="G110" s="3" t="s">
        <v>204</v>
      </c>
      <c r="H110" s="3" t="s">
        <v>561</v>
      </c>
      <c r="I110" s="3" t="s">
        <v>562</v>
      </c>
      <c r="J110" s="3" t="s">
        <v>563</v>
      </c>
      <c r="K110" s="0" t="n">
        <v>-1000</v>
      </c>
      <c r="L110" s="0" t="n">
        <v>1000</v>
      </c>
      <c r="M110" s="0" t="n">
        <v>-1000</v>
      </c>
      <c r="N110" s="0" t="n">
        <v>1000</v>
      </c>
      <c r="O110" s="0" t="n">
        <v>-1000</v>
      </c>
      <c r="P110" s="0" t="n">
        <v>1000</v>
      </c>
    </row>
    <row r="111" customFormat="false" ht="15" hidden="false" customHeight="false" outlineLevel="0" collapsed="false">
      <c r="A111" s="3" t="s">
        <v>578</v>
      </c>
      <c r="B111" s="3" t="s">
        <v>558</v>
      </c>
      <c r="C111" s="3" t="s">
        <v>579</v>
      </c>
      <c r="D111" s="7" t="n">
        <v>3</v>
      </c>
      <c r="E111" s="3" t="s">
        <v>560</v>
      </c>
      <c r="F111" s="7" t="n">
        <v>238956</v>
      </c>
      <c r="G111" s="3" t="s">
        <v>204</v>
      </c>
      <c r="H111" s="3" t="s">
        <v>561</v>
      </c>
      <c r="I111" s="3" t="s">
        <v>562</v>
      </c>
      <c r="J111" s="3" t="s">
        <v>563</v>
      </c>
      <c r="K111" s="0" t="n">
        <v>-1000</v>
      </c>
      <c r="L111" s="0" t="n">
        <v>1000</v>
      </c>
      <c r="M111" s="0" t="n">
        <v>-1000</v>
      </c>
      <c r="N111" s="0" t="n">
        <v>1000</v>
      </c>
      <c r="O111" s="0" t="n">
        <v>-1000</v>
      </c>
      <c r="P111" s="0" t="n">
        <v>1000</v>
      </c>
    </row>
    <row r="112" customFormat="false" ht="15" hidden="false" customHeight="false" outlineLevel="0" collapsed="false">
      <c r="A112" s="3" t="s">
        <v>580</v>
      </c>
      <c r="B112" s="3" t="s">
        <v>558</v>
      </c>
      <c r="C112" s="3" t="s">
        <v>581</v>
      </c>
      <c r="D112" s="7" t="n">
        <v>3</v>
      </c>
      <c r="E112" s="3" t="s">
        <v>560</v>
      </c>
      <c r="F112" s="7" t="n">
        <v>238956</v>
      </c>
      <c r="G112" s="3" t="s">
        <v>204</v>
      </c>
      <c r="H112" s="3" t="s">
        <v>561</v>
      </c>
      <c r="I112" s="3" t="s">
        <v>562</v>
      </c>
      <c r="J112" s="3" t="s">
        <v>563</v>
      </c>
      <c r="K112" s="0" t="n">
        <v>-1000</v>
      </c>
      <c r="L112" s="0" t="n">
        <v>1000</v>
      </c>
      <c r="M112" s="0" t="n">
        <v>-1000</v>
      </c>
      <c r="N112" s="0" t="n">
        <v>1000</v>
      </c>
      <c r="O112" s="0" t="n">
        <v>-1000</v>
      </c>
      <c r="P112" s="0" t="n">
        <v>1000</v>
      </c>
    </row>
    <row r="113" customFormat="false" ht="15" hidden="false" customHeight="false" outlineLevel="0" collapsed="false">
      <c r="A113" s="3" t="s">
        <v>582</v>
      </c>
      <c r="B113" s="3" t="s">
        <v>558</v>
      </c>
      <c r="C113" s="3" t="s">
        <v>583</v>
      </c>
      <c r="D113" s="7" t="n">
        <v>3</v>
      </c>
      <c r="E113" s="3" t="s">
        <v>560</v>
      </c>
      <c r="F113" s="7" t="n">
        <v>238956</v>
      </c>
      <c r="G113" s="3" t="s">
        <v>204</v>
      </c>
      <c r="H113" s="3" t="s">
        <v>561</v>
      </c>
      <c r="I113" s="3" t="s">
        <v>562</v>
      </c>
      <c r="J113" s="3" t="s">
        <v>563</v>
      </c>
      <c r="K113" s="0" t="n">
        <v>-1000</v>
      </c>
      <c r="L113" s="0" t="n">
        <v>1000</v>
      </c>
      <c r="M113" s="0" t="n">
        <v>-1000</v>
      </c>
      <c r="N113" s="0" t="n">
        <v>1000</v>
      </c>
      <c r="O113" s="0" t="n">
        <v>-1000</v>
      </c>
      <c r="P113" s="0" t="n">
        <v>1000</v>
      </c>
    </row>
    <row r="114" customFormat="false" ht="15" hidden="false" customHeight="false" outlineLevel="0" collapsed="false">
      <c r="A114" s="3" t="s">
        <v>584</v>
      </c>
      <c r="B114" s="3" t="s">
        <v>558</v>
      </c>
      <c r="C114" s="3" t="s">
        <v>585</v>
      </c>
      <c r="D114" s="7" t="n">
        <v>3</v>
      </c>
      <c r="E114" s="3" t="s">
        <v>560</v>
      </c>
      <c r="F114" s="7" t="n">
        <v>238956</v>
      </c>
      <c r="G114" s="3" t="s">
        <v>204</v>
      </c>
      <c r="H114" s="3" t="s">
        <v>561</v>
      </c>
      <c r="I114" s="3" t="s">
        <v>562</v>
      </c>
      <c r="J114" s="3" t="s">
        <v>563</v>
      </c>
      <c r="K114" s="0" t="n">
        <v>-1000</v>
      </c>
      <c r="L114" s="0" t="n">
        <v>1000</v>
      </c>
      <c r="M114" s="0" t="n">
        <v>-1000</v>
      </c>
      <c r="N114" s="0" t="n">
        <v>1000</v>
      </c>
      <c r="O114" s="0" t="n">
        <v>-1000</v>
      </c>
      <c r="P114" s="0" t="n">
        <v>1000</v>
      </c>
    </row>
    <row r="115" customFormat="false" ht="15" hidden="false" customHeight="false" outlineLevel="0" collapsed="false">
      <c r="A115" s="3" t="s">
        <v>586</v>
      </c>
      <c r="B115" s="3" t="s">
        <v>558</v>
      </c>
      <c r="C115" s="3" t="s">
        <v>587</v>
      </c>
      <c r="D115" s="7" t="n">
        <v>3</v>
      </c>
      <c r="E115" s="3" t="s">
        <v>560</v>
      </c>
      <c r="F115" s="7" t="n">
        <v>238956</v>
      </c>
      <c r="G115" s="3" t="s">
        <v>204</v>
      </c>
      <c r="H115" s="3" t="s">
        <v>561</v>
      </c>
      <c r="I115" s="3" t="s">
        <v>562</v>
      </c>
      <c r="J115" s="3" t="s">
        <v>563</v>
      </c>
      <c r="K115" s="0" t="n">
        <v>-1000</v>
      </c>
      <c r="L115" s="0" t="n">
        <v>1000</v>
      </c>
      <c r="M115" s="0" t="n">
        <v>-1000</v>
      </c>
      <c r="N115" s="0" t="n">
        <v>1000</v>
      </c>
      <c r="O115" s="0" t="n">
        <v>-1000</v>
      </c>
      <c r="P115" s="0" t="n">
        <v>1000</v>
      </c>
    </row>
    <row r="116" customFormat="false" ht="15" hidden="false" customHeight="false" outlineLevel="0" collapsed="false">
      <c r="A116" s="3" t="s">
        <v>588</v>
      </c>
      <c r="B116" s="3" t="s">
        <v>558</v>
      </c>
      <c r="C116" s="3" t="s">
        <v>589</v>
      </c>
      <c r="D116" s="7" t="n">
        <v>3</v>
      </c>
      <c r="E116" s="3" t="s">
        <v>560</v>
      </c>
      <c r="F116" s="7" t="n">
        <v>238956</v>
      </c>
      <c r="G116" s="3" t="s">
        <v>204</v>
      </c>
      <c r="H116" s="3" t="s">
        <v>561</v>
      </c>
      <c r="I116" s="3" t="s">
        <v>562</v>
      </c>
      <c r="J116" s="3" t="s">
        <v>563</v>
      </c>
      <c r="K116" s="0" t="n">
        <v>-1000</v>
      </c>
      <c r="L116" s="0" t="n">
        <v>1000</v>
      </c>
      <c r="M116" s="0" t="n">
        <v>-1000</v>
      </c>
      <c r="N116" s="0" t="n">
        <v>1000</v>
      </c>
      <c r="O116" s="0" t="n">
        <v>-1000</v>
      </c>
      <c r="P116" s="0" t="n">
        <v>1000</v>
      </c>
    </row>
    <row r="117" customFormat="false" ht="15" hidden="false" customHeight="false" outlineLevel="0" collapsed="false">
      <c r="A117" s="3" t="s">
        <v>590</v>
      </c>
      <c r="B117" s="3" t="s">
        <v>558</v>
      </c>
      <c r="C117" s="3" t="s">
        <v>591</v>
      </c>
      <c r="D117" s="7" t="n">
        <v>3</v>
      </c>
      <c r="E117" s="3" t="s">
        <v>560</v>
      </c>
      <c r="F117" s="7" t="n">
        <v>238956</v>
      </c>
      <c r="G117" s="3" t="s">
        <v>204</v>
      </c>
      <c r="H117" s="3" t="s">
        <v>561</v>
      </c>
      <c r="I117" s="3" t="s">
        <v>562</v>
      </c>
      <c r="J117" s="3" t="s">
        <v>563</v>
      </c>
      <c r="K117" s="0" t="n">
        <v>-1000</v>
      </c>
      <c r="L117" s="0" t="n">
        <v>1000</v>
      </c>
      <c r="M117" s="0" t="n">
        <v>-1000</v>
      </c>
      <c r="N117" s="0" t="n">
        <v>1000</v>
      </c>
      <c r="O117" s="0" t="n">
        <v>-1000</v>
      </c>
      <c r="P117" s="0" t="n">
        <v>1000</v>
      </c>
    </row>
    <row r="118" customFormat="false" ht="15" hidden="false" customHeight="false" outlineLevel="0" collapsed="false">
      <c r="A118" s="3" t="s">
        <v>592</v>
      </c>
      <c r="B118" s="3" t="s">
        <v>558</v>
      </c>
      <c r="C118" s="3" t="s">
        <v>593</v>
      </c>
      <c r="D118" s="7" t="n">
        <v>3</v>
      </c>
      <c r="E118" s="3" t="s">
        <v>560</v>
      </c>
      <c r="F118" s="7" t="n">
        <v>238956</v>
      </c>
      <c r="G118" s="3" t="s">
        <v>204</v>
      </c>
      <c r="H118" s="3" t="s">
        <v>561</v>
      </c>
      <c r="I118" s="3" t="s">
        <v>562</v>
      </c>
      <c r="J118" s="3" t="s">
        <v>563</v>
      </c>
      <c r="K118" s="0" t="n">
        <v>-1000</v>
      </c>
      <c r="L118" s="0" t="n">
        <v>1000</v>
      </c>
      <c r="M118" s="0" t="n">
        <v>-1000</v>
      </c>
      <c r="N118" s="0" t="n">
        <v>1000</v>
      </c>
      <c r="O118" s="0" t="n">
        <v>-1000</v>
      </c>
      <c r="P118" s="0" t="n">
        <v>1000</v>
      </c>
    </row>
    <row r="119" customFormat="false" ht="15" hidden="false" customHeight="false" outlineLevel="0" collapsed="false">
      <c r="A119" s="3" t="s">
        <v>594</v>
      </c>
      <c r="B119" s="3" t="s">
        <v>558</v>
      </c>
      <c r="C119" s="3" t="s">
        <v>595</v>
      </c>
      <c r="D119" s="7" t="n">
        <v>3</v>
      </c>
      <c r="E119" s="3" t="s">
        <v>560</v>
      </c>
      <c r="F119" s="7" t="n">
        <v>238956</v>
      </c>
      <c r="G119" s="3" t="s">
        <v>204</v>
      </c>
      <c r="H119" s="3" t="s">
        <v>561</v>
      </c>
      <c r="I119" s="3" t="s">
        <v>562</v>
      </c>
      <c r="J119" s="3" t="s">
        <v>563</v>
      </c>
      <c r="K119" s="0" t="n">
        <v>-1000</v>
      </c>
      <c r="L119" s="0" t="n">
        <v>1000</v>
      </c>
      <c r="M119" s="0" t="n">
        <v>-1000</v>
      </c>
      <c r="N119" s="0" t="n">
        <v>1000</v>
      </c>
      <c r="O119" s="0" t="n">
        <v>-1000</v>
      </c>
      <c r="P119" s="0" t="n">
        <v>1000</v>
      </c>
    </row>
    <row r="120" customFormat="false" ht="15" hidden="false" customHeight="false" outlineLevel="0" collapsed="false">
      <c r="A120" s="3" t="s">
        <v>596</v>
      </c>
      <c r="B120" s="3" t="s">
        <v>597</v>
      </c>
      <c r="C120" s="3" t="s">
        <v>598</v>
      </c>
      <c r="D120" s="7" t="n">
        <v>2</v>
      </c>
      <c r="E120" s="3" t="s">
        <v>599</v>
      </c>
      <c r="G120" s="3" t="s">
        <v>438</v>
      </c>
      <c r="H120" s="3" t="s">
        <v>600</v>
      </c>
      <c r="I120" s="3" t="s">
        <v>601</v>
      </c>
      <c r="J120" s="3" t="s">
        <v>602</v>
      </c>
      <c r="K120" s="0" t="n">
        <v>0</v>
      </c>
      <c r="L120" s="0" t="n">
        <v>1000</v>
      </c>
      <c r="M120" s="0" t="n">
        <v>0</v>
      </c>
      <c r="N120" s="0" t="n">
        <v>1000</v>
      </c>
      <c r="O120" s="0" t="n">
        <v>0</v>
      </c>
      <c r="P120" s="0" t="n">
        <v>1000</v>
      </c>
    </row>
    <row r="121" customFormat="false" ht="15" hidden="false" customHeight="false" outlineLevel="0" collapsed="false">
      <c r="A121" s="3" t="s">
        <v>603</v>
      </c>
      <c r="B121" s="3" t="s">
        <v>604</v>
      </c>
      <c r="C121" s="3" t="s">
        <v>605</v>
      </c>
      <c r="D121" s="7" t="n">
        <v>3</v>
      </c>
      <c r="E121" s="3" t="s">
        <v>168</v>
      </c>
      <c r="F121" s="7" t="n">
        <v>238956</v>
      </c>
      <c r="G121" s="3" t="s">
        <v>169</v>
      </c>
      <c r="H121" s="3" t="s">
        <v>606</v>
      </c>
      <c r="I121" s="3" t="s">
        <v>607</v>
      </c>
      <c r="J121" s="3" t="s">
        <v>608</v>
      </c>
      <c r="K121" s="0" t="n">
        <v>0</v>
      </c>
      <c r="L121" s="0" t="n">
        <v>1000</v>
      </c>
      <c r="M121" s="0" t="n">
        <v>0</v>
      </c>
      <c r="N121" s="0" t="n">
        <v>1000</v>
      </c>
      <c r="O121" s="0" t="n">
        <v>0</v>
      </c>
      <c r="P121" s="0" t="n">
        <v>1000</v>
      </c>
    </row>
    <row r="122" customFormat="false" ht="15" hidden="false" customHeight="false" outlineLevel="0" collapsed="false">
      <c r="A122" s="3" t="s">
        <v>609</v>
      </c>
      <c r="B122" s="3" t="s">
        <v>604</v>
      </c>
      <c r="C122" s="3" t="s">
        <v>610</v>
      </c>
      <c r="D122" s="7" t="n">
        <v>2</v>
      </c>
      <c r="E122" s="3" t="s">
        <v>611</v>
      </c>
      <c r="G122" s="3" t="s">
        <v>169</v>
      </c>
      <c r="H122" s="3" t="s">
        <v>612</v>
      </c>
      <c r="I122" s="3" t="s">
        <v>613</v>
      </c>
      <c r="J122" s="3" t="s">
        <v>614</v>
      </c>
      <c r="K122" s="0" t="n">
        <v>0</v>
      </c>
      <c r="L122" s="0" t="n">
        <v>1000</v>
      </c>
      <c r="M122" s="0" t="n">
        <v>0</v>
      </c>
      <c r="N122" s="0" t="n">
        <v>1000</v>
      </c>
      <c r="O122" s="0" t="n">
        <v>0</v>
      </c>
      <c r="P122" s="0" t="n">
        <v>1000</v>
      </c>
    </row>
    <row r="123" customFormat="false" ht="15" hidden="false" customHeight="false" outlineLevel="0" collapsed="false">
      <c r="A123" s="3" t="s">
        <v>615</v>
      </c>
      <c r="C123" s="3" t="s">
        <v>616</v>
      </c>
      <c r="D123" s="7" t="n">
        <v>1</v>
      </c>
      <c r="G123" s="3" t="s">
        <v>139</v>
      </c>
      <c r="K123" s="0" t="n">
        <v>-1000</v>
      </c>
      <c r="L123" s="0" t="n">
        <v>1000</v>
      </c>
      <c r="M123" s="0" t="n">
        <v>-1000</v>
      </c>
      <c r="N123" s="0" t="n">
        <v>1000</v>
      </c>
      <c r="O123" s="0" t="n">
        <v>-1000</v>
      </c>
      <c r="P123" s="0" t="n">
        <v>1000</v>
      </c>
    </row>
    <row r="124" customFormat="false" ht="15" hidden="false" customHeight="false" outlineLevel="0" collapsed="false">
      <c r="A124" s="3" t="s">
        <v>617</v>
      </c>
      <c r="C124" s="3" t="s">
        <v>618</v>
      </c>
      <c r="D124" s="7" t="n">
        <v>1</v>
      </c>
      <c r="G124" s="3" t="s">
        <v>143</v>
      </c>
      <c r="K124" s="0" t="n">
        <v>-1000</v>
      </c>
      <c r="L124" s="0" t="n">
        <v>1000</v>
      </c>
      <c r="M124" s="0" t="n">
        <v>-1000</v>
      </c>
      <c r="N124" s="0" t="n">
        <v>1000</v>
      </c>
      <c r="O124" s="0" t="n">
        <v>-1000</v>
      </c>
      <c r="P124" s="0" t="n">
        <v>1000</v>
      </c>
    </row>
    <row r="125" customFormat="false" ht="15" hidden="false" customHeight="false" outlineLevel="0" collapsed="false">
      <c r="A125" s="3" t="s">
        <v>619</v>
      </c>
      <c r="B125" s="3" t="s">
        <v>620</v>
      </c>
      <c r="C125" s="3" t="s">
        <v>621</v>
      </c>
      <c r="D125" s="7" t="n">
        <v>2</v>
      </c>
      <c r="E125" s="3" t="s">
        <v>622</v>
      </c>
      <c r="F125" s="7" t="n">
        <v>14675496</v>
      </c>
      <c r="G125" s="3" t="s">
        <v>301</v>
      </c>
      <c r="H125" s="3" t="s">
        <v>623</v>
      </c>
      <c r="I125" s="3" t="s">
        <v>624</v>
      </c>
      <c r="J125" s="3" t="s">
        <v>625</v>
      </c>
      <c r="K125" s="0" t="n">
        <v>0</v>
      </c>
      <c r="L125" s="0" t="n">
        <v>1000</v>
      </c>
      <c r="M125" s="0" t="n">
        <v>0</v>
      </c>
      <c r="N125" s="0" t="n">
        <v>1000</v>
      </c>
      <c r="O125" s="0" t="n">
        <v>0</v>
      </c>
      <c r="P125" s="0" t="n">
        <v>1000</v>
      </c>
    </row>
    <row r="126" customFormat="false" ht="15" hidden="false" customHeight="false" outlineLevel="0" collapsed="false">
      <c r="A126" s="3" t="s">
        <v>626</v>
      </c>
      <c r="B126" s="3" t="s">
        <v>627</v>
      </c>
      <c r="C126" s="3" t="s">
        <v>628</v>
      </c>
      <c r="D126" s="7" t="n">
        <v>2</v>
      </c>
      <c r="E126" s="3" t="s">
        <v>629</v>
      </c>
      <c r="G126" s="3" t="s">
        <v>438</v>
      </c>
      <c r="H126" s="3" t="s">
        <v>630</v>
      </c>
      <c r="I126" s="3" t="s">
        <v>631</v>
      </c>
      <c r="J126" s="3" t="s">
        <v>632</v>
      </c>
      <c r="K126" s="0" t="n">
        <v>0</v>
      </c>
      <c r="L126" s="0" t="n">
        <v>1000</v>
      </c>
      <c r="M126" s="0" t="n">
        <v>0</v>
      </c>
      <c r="N126" s="0" t="n">
        <v>1000</v>
      </c>
      <c r="O126" s="0" t="n">
        <v>0</v>
      </c>
      <c r="P126" s="0" t="n">
        <v>1000</v>
      </c>
    </row>
    <row r="127" customFormat="false" ht="15" hidden="false" customHeight="false" outlineLevel="0" collapsed="false">
      <c r="A127" s="3" t="s">
        <v>633</v>
      </c>
      <c r="B127" s="3" t="s">
        <v>634</v>
      </c>
      <c r="C127" s="3" t="s">
        <v>635</v>
      </c>
      <c r="D127" s="7" t="n">
        <v>1</v>
      </c>
      <c r="G127" s="3" t="s">
        <v>139</v>
      </c>
      <c r="K127" s="0" t="n">
        <v>-1000</v>
      </c>
      <c r="L127" s="0" t="n">
        <v>1000</v>
      </c>
      <c r="M127" s="0" t="n">
        <v>-1000</v>
      </c>
      <c r="N127" s="0" t="n">
        <v>1000</v>
      </c>
      <c r="O127" s="0" t="n">
        <v>-1000</v>
      </c>
      <c r="P127" s="0" t="n">
        <v>1000</v>
      </c>
    </row>
    <row r="128" customFormat="false" ht="15" hidden="false" customHeight="false" outlineLevel="0" collapsed="false">
      <c r="A128" s="3" t="s">
        <v>636</v>
      </c>
      <c r="B128" s="3" t="s">
        <v>637</v>
      </c>
      <c r="C128" s="3" t="s">
        <v>638</v>
      </c>
      <c r="D128" s="7" t="n">
        <v>2</v>
      </c>
      <c r="F128" s="7" t="n">
        <v>19077236</v>
      </c>
      <c r="G128" s="3" t="s">
        <v>143</v>
      </c>
      <c r="H128" s="3" t="s">
        <v>639</v>
      </c>
      <c r="I128" s="3" t="s">
        <v>640</v>
      </c>
      <c r="J128" s="3" t="s">
        <v>639</v>
      </c>
      <c r="K128" s="0" t="n">
        <v>0</v>
      </c>
      <c r="L128" s="0" t="n">
        <v>1000</v>
      </c>
      <c r="M128" s="0" t="n">
        <v>0</v>
      </c>
      <c r="N128" s="0" t="n">
        <v>1000</v>
      </c>
      <c r="O128" s="0" t="n">
        <v>0</v>
      </c>
      <c r="P128" s="0" t="n">
        <v>1000</v>
      </c>
    </row>
    <row r="129" customFormat="false" ht="15" hidden="false" customHeight="false" outlineLevel="0" collapsed="false">
      <c r="A129" s="3" t="s">
        <v>641</v>
      </c>
      <c r="B129" s="3" t="s">
        <v>642</v>
      </c>
      <c r="C129" s="3" t="s">
        <v>643</v>
      </c>
      <c r="D129" s="7" t="n">
        <v>1</v>
      </c>
      <c r="E129" s="3" t="s">
        <v>644</v>
      </c>
      <c r="G129" s="3" t="s">
        <v>532</v>
      </c>
      <c r="K129" s="0" t="n">
        <v>-1000</v>
      </c>
      <c r="L129" s="0" t="n">
        <v>1000</v>
      </c>
      <c r="M129" s="0" t="n">
        <v>-1000</v>
      </c>
      <c r="N129" s="0" t="n">
        <v>1000</v>
      </c>
      <c r="O129" s="0" t="n">
        <v>-1000</v>
      </c>
      <c r="P129" s="0" t="n">
        <v>1000</v>
      </c>
    </row>
    <row r="130" customFormat="false" ht="15" hidden="false" customHeight="false" outlineLevel="0" collapsed="false">
      <c r="A130" s="3" t="s">
        <v>645</v>
      </c>
      <c r="B130" s="3" t="s">
        <v>646</v>
      </c>
      <c r="C130" s="3" t="s">
        <v>647</v>
      </c>
      <c r="D130" s="7" t="n">
        <v>2</v>
      </c>
      <c r="E130" s="3" t="s">
        <v>648</v>
      </c>
      <c r="G130" s="3" t="s">
        <v>177</v>
      </c>
      <c r="H130" s="3" t="s">
        <v>649</v>
      </c>
      <c r="I130" s="3" t="s">
        <v>650</v>
      </c>
      <c r="J130" s="3" t="s">
        <v>651</v>
      </c>
      <c r="K130" s="0" t="n">
        <v>0</v>
      </c>
      <c r="L130" s="0" t="n">
        <v>1000</v>
      </c>
      <c r="M130" s="0" t="n">
        <v>0</v>
      </c>
      <c r="N130" s="0" t="n">
        <v>1000</v>
      </c>
      <c r="O130" s="0" t="n">
        <v>0</v>
      </c>
      <c r="P130" s="0" t="n">
        <v>1000</v>
      </c>
    </row>
    <row r="131" customFormat="false" ht="15" hidden="false" customHeight="false" outlineLevel="0" collapsed="false">
      <c r="A131" s="3" t="s">
        <v>652</v>
      </c>
      <c r="B131" s="3" t="s">
        <v>653</v>
      </c>
      <c r="C131" s="3" t="s">
        <v>654</v>
      </c>
      <c r="D131" s="7" t="n">
        <v>2</v>
      </c>
      <c r="E131" s="3" t="s">
        <v>655</v>
      </c>
      <c r="G131" s="3" t="s">
        <v>656</v>
      </c>
      <c r="H131" s="3" t="s">
        <v>657</v>
      </c>
      <c r="I131" s="3" t="s">
        <v>658</v>
      </c>
      <c r="J131" s="3" t="s">
        <v>659</v>
      </c>
      <c r="K131" s="0" t="n">
        <v>-1000</v>
      </c>
      <c r="L131" s="0" t="n">
        <v>1000</v>
      </c>
      <c r="M131" s="0" t="n">
        <v>-1000</v>
      </c>
      <c r="N131" s="0" t="n">
        <v>1000</v>
      </c>
      <c r="O131" s="0" t="n">
        <v>-1000</v>
      </c>
      <c r="P131" s="0" t="n">
        <v>1000</v>
      </c>
    </row>
    <row r="132" customFormat="false" ht="15" hidden="false" customHeight="false" outlineLevel="0" collapsed="false">
      <c r="A132" s="3" t="s">
        <v>660</v>
      </c>
      <c r="B132" s="3" t="s">
        <v>661</v>
      </c>
      <c r="C132" s="3" t="s">
        <v>662</v>
      </c>
      <c r="D132" s="7" t="n">
        <v>2</v>
      </c>
      <c r="E132" s="3" t="s">
        <v>663</v>
      </c>
      <c r="G132" s="3" t="s">
        <v>664</v>
      </c>
      <c r="H132" s="3" t="s">
        <v>665</v>
      </c>
      <c r="I132" s="3" t="s">
        <v>666</v>
      </c>
      <c r="J132" s="3" t="s">
        <v>667</v>
      </c>
      <c r="K132" s="0" t="n">
        <v>0</v>
      </c>
      <c r="L132" s="0" t="n">
        <v>1000</v>
      </c>
      <c r="M132" s="0" t="n">
        <v>0</v>
      </c>
      <c r="N132" s="0" t="n">
        <v>1000</v>
      </c>
      <c r="O132" s="0" t="n">
        <v>0</v>
      </c>
      <c r="P132" s="0" t="n">
        <v>1000</v>
      </c>
    </row>
    <row r="133" customFormat="false" ht="15" hidden="false" customHeight="false" outlineLevel="0" collapsed="false">
      <c r="A133" s="3" t="s">
        <v>668</v>
      </c>
      <c r="B133" s="3" t="s">
        <v>669</v>
      </c>
      <c r="C133" s="3" t="s">
        <v>670</v>
      </c>
      <c r="D133" s="7" t="n">
        <v>2</v>
      </c>
      <c r="E133" s="3" t="s">
        <v>671</v>
      </c>
      <c r="G133" s="3" t="s">
        <v>423</v>
      </c>
      <c r="H133" s="3" t="s">
        <v>672</v>
      </c>
      <c r="I133" s="3" t="s">
        <v>673</v>
      </c>
      <c r="J133" s="3" t="s">
        <v>674</v>
      </c>
      <c r="K133" s="0" t="n">
        <v>-1000</v>
      </c>
      <c r="L133" s="0" t="n">
        <v>1000</v>
      </c>
      <c r="M133" s="0" t="n">
        <v>-1000</v>
      </c>
      <c r="N133" s="0" t="n">
        <v>1000</v>
      </c>
      <c r="O133" s="0" t="n">
        <v>-1000</v>
      </c>
      <c r="P133" s="0" t="n">
        <v>1000</v>
      </c>
    </row>
    <row r="134" customFormat="false" ht="15" hidden="false" customHeight="false" outlineLevel="0" collapsed="false">
      <c r="A134" s="3" t="s">
        <v>675</v>
      </c>
      <c r="B134" s="3" t="s">
        <v>676</v>
      </c>
      <c r="C134" s="3" t="s">
        <v>677</v>
      </c>
      <c r="D134" s="7" t="n">
        <v>2</v>
      </c>
      <c r="E134" s="3" t="s">
        <v>678</v>
      </c>
      <c r="G134" s="3" t="s">
        <v>423</v>
      </c>
      <c r="H134" s="3" t="s">
        <v>679</v>
      </c>
      <c r="I134" s="3" t="s">
        <v>680</v>
      </c>
      <c r="J134" s="3" t="s">
        <v>681</v>
      </c>
      <c r="K134" s="0" t="n">
        <v>0</v>
      </c>
      <c r="L134" s="0" t="n">
        <v>1000</v>
      </c>
      <c r="M134" s="0" t="n">
        <v>0</v>
      </c>
      <c r="N134" s="0" t="n">
        <v>1000</v>
      </c>
      <c r="O134" s="0" t="n">
        <v>0</v>
      </c>
      <c r="P134" s="0" t="n">
        <v>1000</v>
      </c>
    </row>
    <row r="135" customFormat="false" ht="15" hidden="false" customHeight="false" outlineLevel="0" collapsed="false">
      <c r="A135" s="3" t="s">
        <v>682</v>
      </c>
      <c r="B135" s="3" t="s">
        <v>683</v>
      </c>
      <c r="C135" s="3" t="s">
        <v>684</v>
      </c>
      <c r="D135" s="7" t="n">
        <v>2</v>
      </c>
      <c r="E135" s="3" t="s">
        <v>685</v>
      </c>
      <c r="G135" s="3" t="s">
        <v>686</v>
      </c>
      <c r="H135" s="3" t="s">
        <v>687</v>
      </c>
      <c r="I135" s="3" t="s">
        <v>688</v>
      </c>
      <c r="J135" s="3" t="s">
        <v>687</v>
      </c>
      <c r="K135" s="0" t="n">
        <v>-1000</v>
      </c>
      <c r="L135" s="0" t="n">
        <v>1000</v>
      </c>
      <c r="M135" s="0" t="n">
        <v>-1000</v>
      </c>
      <c r="N135" s="0" t="n">
        <v>1000</v>
      </c>
      <c r="O135" s="0" t="n">
        <v>-1000</v>
      </c>
      <c r="P135" s="0" t="n">
        <v>1000</v>
      </c>
    </row>
    <row r="136" customFormat="false" ht="15" hidden="false" customHeight="false" outlineLevel="0" collapsed="false">
      <c r="A136" s="3" t="s">
        <v>689</v>
      </c>
      <c r="B136" s="3" t="s">
        <v>690</v>
      </c>
      <c r="C136" s="3" t="s">
        <v>691</v>
      </c>
      <c r="D136" s="7" t="n">
        <v>2</v>
      </c>
      <c r="E136" s="3" t="s">
        <v>692</v>
      </c>
      <c r="G136" s="3" t="s">
        <v>693</v>
      </c>
      <c r="H136" s="3" t="s">
        <v>694</v>
      </c>
      <c r="I136" s="3" t="s">
        <v>695</v>
      </c>
      <c r="J136" s="3" t="s">
        <v>694</v>
      </c>
      <c r="K136" s="0" t="n">
        <v>-1000</v>
      </c>
      <c r="L136" s="0" t="n">
        <v>1000</v>
      </c>
      <c r="M136" s="0" t="n">
        <v>-1000</v>
      </c>
      <c r="N136" s="0" t="n">
        <v>1000</v>
      </c>
      <c r="O136" s="0" t="n">
        <v>-1000</v>
      </c>
      <c r="P136" s="0" t="n">
        <v>1000</v>
      </c>
    </row>
    <row r="137" customFormat="false" ht="15" hidden="false" customHeight="false" outlineLevel="0" collapsed="false">
      <c r="A137" s="3" t="s">
        <v>696</v>
      </c>
      <c r="B137" s="3" t="s">
        <v>697</v>
      </c>
      <c r="C137" s="3" t="s">
        <v>698</v>
      </c>
      <c r="D137" s="7" t="n">
        <v>2</v>
      </c>
      <c r="E137" s="3" t="s">
        <v>699</v>
      </c>
      <c r="G137" s="3" t="s">
        <v>700</v>
      </c>
      <c r="H137" s="3" t="s">
        <v>701</v>
      </c>
      <c r="I137" s="3" t="s">
        <v>702</v>
      </c>
      <c r="J137" s="3" t="s">
        <v>703</v>
      </c>
      <c r="K137" s="0" t="n">
        <v>-1000</v>
      </c>
      <c r="L137" s="0" t="n">
        <v>1000</v>
      </c>
      <c r="M137" s="0" t="n">
        <v>-1000</v>
      </c>
      <c r="N137" s="0" t="n">
        <v>1000</v>
      </c>
      <c r="O137" s="0" t="n">
        <v>-1000</v>
      </c>
      <c r="P137" s="0" t="n">
        <v>1000</v>
      </c>
    </row>
    <row r="138" customFormat="false" ht="15" hidden="false" customHeight="false" outlineLevel="0" collapsed="false">
      <c r="A138" s="3" t="s">
        <v>704</v>
      </c>
      <c r="B138" s="3" t="s">
        <v>705</v>
      </c>
      <c r="C138" s="3" t="s">
        <v>706</v>
      </c>
      <c r="D138" s="7" t="n">
        <v>2</v>
      </c>
      <c r="E138" s="3" t="s">
        <v>707</v>
      </c>
      <c r="G138" s="3" t="s">
        <v>700</v>
      </c>
      <c r="H138" s="3" t="s">
        <v>708</v>
      </c>
      <c r="I138" s="3" t="s">
        <v>709</v>
      </c>
      <c r="J138" s="3" t="s">
        <v>710</v>
      </c>
      <c r="K138" s="0" t="n">
        <v>-1000</v>
      </c>
      <c r="L138" s="0" t="n">
        <v>1000</v>
      </c>
      <c r="M138" s="0" t="n">
        <v>-1000</v>
      </c>
      <c r="N138" s="0" t="n">
        <v>1000</v>
      </c>
      <c r="O138" s="0" t="n">
        <v>-1000</v>
      </c>
      <c r="P138" s="0" t="n">
        <v>1000</v>
      </c>
    </row>
    <row r="139" customFormat="false" ht="15" hidden="false" customHeight="false" outlineLevel="0" collapsed="false">
      <c r="A139" s="3" t="s">
        <v>711</v>
      </c>
      <c r="B139" s="3" t="s">
        <v>712</v>
      </c>
      <c r="C139" s="3" t="s">
        <v>713</v>
      </c>
      <c r="D139" s="7" t="n">
        <v>2</v>
      </c>
      <c r="E139" s="3" t="s">
        <v>714</v>
      </c>
      <c r="F139" s="7" t="n">
        <v>19077236</v>
      </c>
      <c r="G139" s="3" t="s">
        <v>213</v>
      </c>
      <c r="H139" s="3" t="s">
        <v>715</v>
      </c>
      <c r="I139" s="3" t="s">
        <v>716</v>
      </c>
      <c r="J139" s="3" t="s">
        <v>717</v>
      </c>
      <c r="K139" s="0" t="n">
        <v>0</v>
      </c>
      <c r="L139" s="0" t="n">
        <v>1000</v>
      </c>
      <c r="M139" s="0" t="n">
        <v>0</v>
      </c>
      <c r="N139" s="0" t="n">
        <v>1000</v>
      </c>
      <c r="O139" s="0" t="n">
        <v>0</v>
      </c>
      <c r="P139" s="0" t="n">
        <v>1000</v>
      </c>
    </row>
    <row r="140" customFormat="false" ht="15" hidden="false" customHeight="false" outlineLevel="0" collapsed="false">
      <c r="A140" s="3" t="s">
        <v>718</v>
      </c>
      <c r="B140" s="3" t="s">
        <v>719</v>
      </c>
      <c r="C140" s="3" t="s">
        <v>720</v>
      </c>
      <c r="D140" s="7" t="n">
        <v>1</v>
      </c>
      <c r="E140" s="3" t="s">
        <v>721</v>
      </c>
      <c r="G140" s="3" t="s">
        <v>251</v>
      </c>
      <c r="K140" s="0" t="n">
        <v>0</v>
      </c>
      <c r="L140" s="0" t="n">
        <v>1000</v>
      </c>
      <c r="M140" s="0" t="n">
        <v>0</v>
      </c>
      <c r="N140" s="0" t="n">
        <v>1000</v>
      </c>
      <c r="O140" s="0" t="n">
        <v>0</v>
      </c>
      <c r="P140" s="0" t="n">
        <v>1000</v>
      </c>
    </row>
    <row r="141" customFormat="false" ht="15" hidden="false" customHeight="false" outlineLevel="0" collapsed="false">
      <c r="A141" s="3" t="s">
        <v>722</v>
      </c>
      <c r="B141" s="3" t="s">
        <v>723</v>
      </c>
      <c r="C141" s="3" t="s">
        <v>724</v>
      </c>
      <c r="D141" s="7" t="n">
        <v>2</v>
      </c>
      <c r="E141" s="3" t="s">
        <v>725</v>
      </c>
      <c r="G141" s="3" t="s">
        <v>308</v>
      </c>
      <c r="H141" s="3" t="s">
        <v>726</v>
      </c>
      <c r="I141" s="3" t="s">
        <v>727</v>
      </c>
      <c r="J141" s="3" t="s">
        <v>728</v>
      </c>
      <c r="K141" s="0" t="n">
        <v>-1000</v>
      </c>
      <c r="L141" s="0" t="n">
        <v>1000</v>
      </c>
      <c r="M141" s="0" t="n">
        <v>-1000</v>
      </c>
      <c r="N141" s="0" t="n">
        <v>1000</v>
      </c>
      <c r="O141" s="0" t="n">
        <v>-1000</v>
      </c>
      <c r="P141" s="0" t="n">
        <v>1000</v>
      </c>
    </row>
    <row r="142" customFormat="false" ht="15" hidden="false" customHeight="false" outlineLevel="0" collapsed="false">
      <c r="A142" s="3" t="s">
        <v>729</v>
      </c>
      <c r="B142" s="3" t="s">
        <v>730</v>
      </c>
      <c r="C142" s="3" t="s">
        <v>731</v>
      </c>
      <c r="D142" s="7" t="n">
        <v>1</v>
      </c>
      <c r="G142" s="3" t="s">
        <v>139</v>
      </c>
      <c r="K142" s="0" t="n">
        <v>-1000</v>
      </c>
      <c r="L142" s="0" t="n">
        <v>1000</v>
      </c>
      <c r="M142" s="0" t="n">
        <v>-1000</v>
      </c>
      <c r="N142" s="0" t="n">
        <v>1000</v>
      </c>
      <c r="O142" s="0" t="n">
        <v>-1000</v>
      </c>
      <c r="P142" s="0" t="n">
        <v>1000</v>
      </c>
    </row>
    <row r="143" customFormat="false" ht="15" hidden="false" customHeight="false" outlineLevel="0" collapsed="false">
      <c r="A143" s="3" t="s">
        <v>732</v>
      </c>
      <c r="B143" s="3" t="s">
        <v>733</v>
      </c>
      <c r="C143" s="3" t="s">
        <v>734</v>
      </c>
      <c r="D143" s="7" t="n">
        <v>2</v>
      </c>
      <c r="F143" s="7" t="n">
        <v>19077236</v>
      </c>
      <c r="G143" s="3" t="s">
        <v>143</v>
      </c>
      <c r="H143" s="3" t="s">
        <v>735</v>
      </c>
      <c r="I143" s="3" t="s">
        <v>736</v>
      </c>
      <c r="J143" s="3" t="s">
        <v>737</v>
      </c>
      <c r="K143" s="0" t="n">
        <v>0</v>
      </c>
      <c r="L143" s="0" t="n">
        <v>1000</v>
      </c>
      <c r="M143" s="0" t="n">
        <v>0</v>
      </c>
      <c r="N143" s="0" t="n">
        <v>1000</v>
      </c>
      <c r="O143" s="0" t="n">
        <v>0</v>
      </c>
      <c r="P143" s="0" t="n">
        <v>1000</v>
      </c>
    </row>
    <row r="144" customFormat="false" ht="15" hidden="false" customHeight="false" outlineLevel="0" collapsed="false">
      <c r="A144" s="3" t="s">
        <v>738</v>
      </c>
      <c r="B144" s="3" t="s">
        <v>739</v>
      </c>
      <c r="C144" s="3" t="s">
        <v>740</v>
      </c>
      <c r="D144" s="7" t="n">
        <v>4</v>
      </c>
      <c r="E144" s="3" t="s">
        <v>741</v>
      </c>
      <c r="F144" s="7" t="n">
        <v>17660945</v>
      </c>
      <c r="G144" s="3" t="s">
        <v>192</v>
      </c>
      <c r="H144" s="3" t="s">
        <v>742</v>
      </c>
      <c r="I144" s="3" t="s">
        <v>743</v>
      </c>
      <c r="J144" s="3" t="s">
        <v>744</v>
      </c>
      <c r="K144" s="0" t="n">
        <v>0</v>
      </c>
      <c r="L144" s="0" t="n">
        <v>1000</v>
      </c>
      <c r="M144" s="0" t="n">
        <v>0</v>
      </c>
      <c r="N144" s="0" t="n">
        <v>1000</v>
      </c>
      <c r="O144" s="0" t="n">
        <v>0</v>
      </c>
      <c r="P144" s="0" t="n">
        <v>1000</v>
      </c>
    </row>
    <row r="145" customFormat="false" ht="15" hidden="false" customHeight="false" outlineLevel="0" collapsed="false">
      <c r="A145" s="3" t="s">
        <v>745</v>
      </c>
      <c r="B145" s="3" t="s">
        <v>746</v>
      </c>
      <c r="C145" s="3" t="s">
        <v>747</v>
      </c>
      <c r="D145" s="7" t="n">
        <v>3</v>
      </c>
      <c r="E145" s="3" t="s">
        <v>748</v>
      </c>
      <c r="F145" s="7" t="n">
        <v>20033172</v>
      </c>
      <c r="G145" s="3" t="s">
        <v>301</v>
      </c>
      <c r="H145" s="3" t="s">
        <v>749</v>
      </c>
      <c r="I145" s="3" t="s">
        <v>750</v>
      </c>
      <c r="J145" s="3" t="s">
        <v>751</v>
      </c>
      <c r="K145" s="0" t="n">
        <v>0</v>
      </c>
      <c r="L145" s="0" t="n">
        <v>1000</v>
      </c>
      <c r="M145" s="0" t="n">
        <v>0</v>
      </c>
      <c r="N145" s="0" t="n">
        <v>1000</v>
      </c>
      <c r="O145" s="0" t="n">
        <v>0</v>
      </c>
      <c r="P145" s="0" t="n">
        <v>1000</v>
      </c>
    </row>
    <row r="146" customFormat="false" ht="15" hidden="false" customHeight="false" outlineLevel="0" collapsed="false">
      <c r="A146" s="3" t="s">
        <v>752</v>
      </c>
      <c r="B146" s="3" t="s">
        <v>753</v>
      </c>
      <c r="C146" s="3" t="s">
        <v>754</v>
      </c>
      <c r="D146" s="7" t="n">
        <v>3</v>
      </c>
      <c r="F146" s="7" t="n">
        <v>19703284</v>
      </c>
      <c r="G146" s="3" t="s">
        <v>544</v>
      </c>
      <c r="H146" s="3" t="s">
        <v>755</v>
      </c>
      <c r="I146" s="3" t="s">
        <v>756</v>
      </c>
      <c r="J146" s="3" t="s">
        <v>757</v>
      </c>
      <c r="K146" s="0" t="n">
        <v>0</v>
      </c>
      <c r="L146" s="0" t="n">
        <v>1000</v>
      </c>
      <c r="M146" s="0" t="n">
        <v>0</v>
      </c>
      <c r="N146" s="0" t="n">
        <v>1000</v>
      </c>
      <c r="O146" s="0" t="n">
        <v>0</v>
      </c>
      <c r="P146" s="0" t="n">
        <v>1000</v>
      </c>
    </row>
    <row r="147" customFormat="false" ht="15" hidden="false" customHeight="false" outlineLevel="0" collapsed="false">
      <c r="A147" s="3" t="s">
        <v>758</v>
      </c>
      <c r="B147" s="3" t="s">
        <v>759</v>
      </c>
      <c r="C147" s="3" t="s">
        <v>760</v>
      </c>
      <c r="D147" s="7" t="n">
        <v>3</v>
      </c>
      <c r="F147" s="7" t="n">
        <v>19703284</v>
      </c>
      <c r="G147" s="3" t="s">
        <v>544</v>
      </c>
      <c r="H147" s="3" t="s">
        <v>761</v>
      </c>
      <c r="I147" s="3" t="s">
        <v>762</v>
      </c>
      <c r="J147" s="3" t="s">
        <v>763</v>
      </c>
      <c r="K147" s="0" t="n">
        <v>0</v>
      </c>
      <c r="L147" s="0" t="n">
        <v>1000</v>
      </c>
      <c r="M147" s="0" t="n">
        <v>0</v>
      </c>
      <c r="N147" s="0" t="n">
        <v>0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3" t="s">
        <v>764</v>
      </c>
      <c r="B148" s="3" t="s">
        <v>765</v>
      </c>
      <c r="C148" s="3" t="s">
        <v>766</v>
      </c>
      <c r="D148" s="7" t="n">
        <v>3</v>
      </c>
      <c r="F148" s="7" t="n">
        <v>19703284</v>
      </c>
      <c r="G148" s="3" t="s">
        <v>544</v>
      </c>
      <c r="H148" s="3" t="s">
        <v>767</v>
      </c>
      <c r="I148" s="3" t="s">
        <v>768</v>
      </c>
      <c r="J148" s="3" t="s">
        <v>769</v>
      </c>
      <c r="K148" s="0" t="n">
        <v>0</v>
      </c>
      <c r="L148" s="0" t="n">
        <v>1000</v>
      </c>
      <c r="M148" s="0" t="n">
        <v>0</v>
      </c>
      <c r="N148" s="0" t="n">
        <v>1000</v>
      </c>
      <c r="O148" s="0" t="n">
        <v>0</v>
      </c>
      <c r="P148" s="0" t="n">
        <v>1000</v>
      </c>
    </row>
    <row r="149" customFormat="false" ht="15" hidden="false" customHeight="false" outlineLevel="0" collapsed="false">
      <c r="A149" s="3" t="s">
        <v>770</v>
      </c>
      <c r="B149" s="3" t="s">
        <v>771</v>
      </c>
      <c r="C149" s="3" t="s">
        <v>772</v>
      </c>
      <c r="D149" s="7" t="n">
        <v>3</v>
      </c>
      <c r="E149" s="3" t="s">
        <v>773</v>
      </c>
      <c r="F149" s="7" t="n">
        <v>19703284</v>
      </c>
      <c r="G149" s="3" t="s">
        <v>544</v>
      </c>
      <c r="H149" s="3" t="s">
        <v>774</v>
      </c>
      <c r="I149" s="3" t="s">
        <v>775</v>
      </c>
      <c r="J149" s="3" t="s">
        <v>776</v>
      </c>
      <c r="K149" s="0" t="n">
        <v>0</v>
      </c>
      <c r="L149" s="0" t="n">
        <v>1000</v>
      </c>
      <c r="M149" s="0" t="n">
        <v>0</v>
      </c>
      <c r="N149" s="0" t="n">
        <v>1000</v>
      </c>
      <c r="O149" s="0" t="n">
        <v>0</v>
      </c>
      <c r="P149" s="0" t="n">
        <v>1000</v>
      </c>
    </row>
    <row r="150" customFormat="false" ht="15" hidden="false" customHeight="false" outlineLevel="0" collapsed="false">
      <c r="A150" s="3" t="s">
        <v>777</v>
      </c>
      <c r="B150" s="3" t="s">
        <v>778</v>
      </c>
      <c r="C150" s="3" t="s">
        <v>779</v>
      </c>
      <c r="D150" s="7" t="n">
        <v>2</v>
      </c>
      <c r="E150" s="3" t="s">
        <v>773</v>
      </c>
      <c r="F150" s="15" t="s">
        <v>780</v>
      </c>
      <c r="G150" s="3" t="s">
        <v>544</v>
      </c>
      <c r="H150" s="3" t="s">
        <v>781</v>
      </c>
      <c r="I150" s="3" t="s">
        <v>782</v>
      </c>
      <c r="J150" s="3" t="s">
        <v>781</v>
      </c>
      <c r="K150" s="0" t="n">
        <v>0</v>
      </c>
      <c r="L150" s="0" t="n">
        <v>1000</v>
      </c>
      <c r="M150" s="0" t="n">
        <v>0</v>
      </c>
      <c r="N150" s="0" t="n">
        <v>1000</v>
      </c>
      <c r="O150" s="0" t="n">
        <v>0</v>
      </c>
      <c r="P150" s="0" t="n">
        <v>1000</v>
      </c>
    </row>
    <row r="151" customFormat="false" ht="15" hidden="false" customHeight="false" outlineLevel="0" collapsed="false">
      <c r="A151" s="3" t="s">
        <v>783</v>
      </c>
      <c r="B151" s="3" t="s">
        <v>784</v>
      </c>
      <c r="C151" s="3" t="s">
        <v>785</v>
      </c>
      <c r="D151" s="7" t="n">
        <v>3</v>
      </c>
      <c r="F151" s="7" t="n">
        <v>19703284</v>
      </c>
      <c r="G151" s="3" t="s">
        <v>544</v>
      </c>
      <c r="H151" s="3" t="s">
        <v>786</v>
      </c>
      <c r="I151" s="3" t="s">
        <v>787</v>
      </c>
      <c r="J151" s="3" t="s">
        <v>788</v>
      </c>
      <c r="K151" s="0" t="n">
        <v>0</v>
      </c>
      <c r="L151" s="0" t="n">
        <v>1000</v>
      </c>
      <c r="M151" s="0" t="n">
        <v>0</v>
      </c>
      <c r="N151" s="0" t="n">
        <v>1000</v>
      </c>
      <c r="O151" s="0" t="n">
        <v>0</v>
      </c>
      <c r="P151" s="0" t="n">
        <v>1000</v>
      </c>
    </row>
    <row r="152" customFormat="false" ht="15" hidden="false" customHeight="false" outlineLevel="0" collapsed="false">
      <c r="A152" s="3" t="s">
        <v>789</v>
      </c>
      <c r="B152" s="3" t="s">
        <v>790</v>
      </c>
      <c r="C152" s="3" t="s">
        <v>791</v>
      </c>
      <c r="D152" s="7" t="n">
        <v>3</v>
      </c>
      <c r="F152" s="7" t="n">
        <v>19703284</v>
      </c>
      <c r="G152" s="3" t="s">
        <v>544</v>
      </c>
      <c r="H152" s="3" t="s">
        <v>792</v>
      </c>
      <c r="I152" s="3" t="s">
        <v>793</v>
      </c>
      <c r="J152" s="3" t="s">
        <v>794</v>
      </c>
      <c r="K152" s="0" t="n">
        <v>0</v>
      </c>
      <c r="L152" s="0" t="n">
        <v>1000</v>
      </c>
      <c r="M152" s="0" t="n">
        <v>0</v>
      </c>
      <c r="N152" s="0" t="n">
        <v>1000</v>
      </c>
      <c r="O152" s="0" t="n">
        <v>0</v>
      </c>
      <c r="P152" s="0" t="n">
        <v>1000</v>
      </c>
    </row>
    <row r="153" customFormat="false" ht="15" hidden="false" customHeight="false" outlineLevel="0" collapsed="false">
      <c r="A153" s="3" t="s">
        <v>795</v>
      </c>
      <c r="B153" s="3" t="s">
        <v>796</v>
      </c>
      <c r="C153" s="3" t="s">
        <v>791</v>
      </c>
      <c r="D153" s="7" t="n">
        <v>3</v>
      </c>
      <c r="F153" s="7" t="n">
        <v>19703284</v>
      </c>
      <c r="G153" s="3" t="s">
        <v>544</v>
      </c>
      <c r="H153" s="3" t="s">
        <v>797</v>
      </c>
      <c r="I153" s="3" t="s">
        <v>798</v>
      </c>
      <c r="J153" s="3" t="s">
        <v>799</v>
      </c>
      <c r="K153" s="0" t="n">
        <v>0</v>
      </c>
      <c r="L153" s="0" t="n">
        <v>1000</v>
      </c>
      <c r="M153" s="0" t="n">
        <v>0</v>
      </c>
      <c r="N153" s="0" t="n">
        <v>1000</v>
      </c>
      <c r="O153" s="0" t="n">
        <v>0</v>
      </c>
      <c r="P153" s="0" t="n">
        <v>1000</v>
      </c>
    </row>
    <row r="154" customFormat="false" ht="15" hidden="false" customHeight="false" outlineLevel="0" collapsed="false">
      <c r="A154" s="3" t="s">
        <v>800</v>
      </c>
      <c r="B154" s="3" t="s">
        <v>801</v>
      </c>
      <c r="C154" s="3" t="s">
        <v>802</v>
      </c>
      <c r="D154" s="7" t="n">
        <v>1</v>
      </c>
      <c r="E154" s="3" t="s">
        <v>803</v>
      </c>
      <c r="G154" s="3" t="s">
        <v>251</v>
      </c>
      <c r="K154" s="0" t="n">
        <v>-1000</v>
      </c>
      <c r="L154" s="0" t="n">
        <v>1000</v>
      </c>
      <c r="M154" s="0" t="n">
        <v>-1000</v>
      </c>
      <c r="N154" s="0" t="n">
        <v>1000</v>
      </c>
      <c r="O154" s="0" t="n">
        <v>-1000</v>
      </c>
      <c r="P154" s="0" t="n">
        <v>1000</v>
      </c>
    </row>
    <row r="155" customFormat="false" ht="15" hidden="false" customHeight="false" outlineLevel="0" collapsed="false">
      <c r="A155" s="3" t="s">
        <v>804</v>
      </c>
      <c r="B155" s="3" t="s">
        <v>805</v>
      </c>
      <c r="C155" s="3" t="s">
        <v>806</v>
      </c>
      <c r="D155" s="7" t="n">
        <v>1</v>
      </c>
      <c r="E155" s="3" t="s">
        <v>807</v>
      </c>
      <c r="G155" s="3" t="s">
        <v>251</v>
      </c>
      <c r="K155" s="0" t="n">
        <v>0</v>
      </c>
      <c r="L155" s="0" t="n">
        <v>1000</v>
      </c>
      <c r="M155" s="0" t="n">
        <v>0</v>
      </c>
      <c r="N155" s="0" t="n">
        <v>1000</v>
      </c>
      <c r="O155" s="0" t="n">
        <v>0</v>
      </c>
      <c r="P155" s="0" t="n">
        <v>1000</v>
      </c>
    </row>
    <row r="156" customFormat="false" ht="15" hidden="false" customHeight="false" outlineLevel="0" collapsed="false">
      <c r="A156" s="3" t="s">
        <v>808</v>
      </c>
      <c r="B156" s="3" t="s">
        <v>809</v>
      </c>
      <c r="C156" s="3" t="s">
        <v>810</v>
      </c>
      <c r="D156" s="7" t="n">
        <v>1</v>
      </c>
      <c r="E156" s="3" t="s">
        <v>807</v>
      </c>
      <c r="G156" s="3" t="s">
        <v>251</v>
      </c>
      <c r="K156" s="0" t="n">
        <v>0</v>
      </c>
      <c r="L156" s="0" t="n">
        <v>1000</v>
      </c>
      <c r="M156" s="0" t="n">
        <v>0</v>
      </c>
      <c r="N156" s="0" t="n">
        <v>1000</v>
      </c>
      <c r="O156" s="0" t="n">
        <v>0</v>
      </c>
      <c r="P156" s="0" t="n">
        <v>1000</v>
      </c>
    </row>
    <row r="157" customFormat="false" ht="15" hidden="false" customHeight="false" outlineLevel="0" collapsed="false">
      <c r="A157" s="3" t="s">
        <v>811</v>
      </c>
      <c r="B157" s="3" t="s">
        <v>812</v>
      </c>
      <c r="C157" s="3" t="s">
        <v>813</v>
      </c>
      <c r="D157" s="7" t="n">
        <v>2</v>
      </c>
      <c r="E157" s="3" t="s">
        <v>814</v>
      </c>
      <c r="G157" s="3" t="s">
        <v>251</v>
      </c>
      <c r="H157" s="3" t="s">
        <v>815</v>
      </c>
      <c r="I157" s="3" t="s">
        <v>816</v>
      </c>
      <c r="J157" s="3" t="s">
        <v>817</v>
      </c>
      <c r="K157" s="0" t="n">
        <v>-1000</v>
      </c>
      <c r="L157" s="0" t="n">
        <v>1000</v>
      </c>
      <c r="M157" s="0" t="n">
        <v>-1000</v>
      </c>
      <c r="N157" s="0" t="n">
        <v>1000</v>
      </c>
      <c r="O157" s="0" t="n">
        <v>-1000</v>
      </c>
      <c r="P157" s="0" t="n">
        <v>1000</v>
      </c>
    </row>
    <row r="158" customFormat="false" ht="15" hidden="false" customHeight="false" outlineLevel="0" collapsed="false">
      <c r="A158" s="3" t="s">
        <v>818</v>
      </c>
      <c r="B158" s="3" t="s">
        <v>819</v>
      </c>
      <c r="C158" s="3" t="s">
        <v>820</v>
      </c>
      <c r="D158" s="7" t="n">
        <v>2</v>
      </c>
      <c r="E158" s="3" t="s">
        <v>814</v>
      </c>
      <c r="G158" s="3" t="s">
        <v>251</v>
      </c>
      <c r="H158" s="3" t="s">
        <v>815</v>
      </c>
      <c r="I158" s="3" t="s">
        <v>816</v>
      </c>
      <c r="J158" s="3" t="s">
        <v>817</v>
      </c>
      <c r="K158" s="0" t="n">
        <v>-1000</v>
      </c>
      <c r="L158" s="0" t="n">
        <v>1000</v>
      </c>
      <c r="M158" s="0" t="n">
        <v>-1000</v>
      </c>
      <c r="N158" s="0" t="n">
        <v>1000</v>
      </c>
      <c r="O158" s="0" t="n">
        <v>-1000</v>
      </c>
      <c r="P158" s="0" t="n">
        <v>1000</v>
      </c>
    </row>
    <row r="159" customFormat="false" ht="15" hidden="false" customHeight="false" outlineLevel="0" collapsed="false">
      <c r="A159" s="3" t="s">
        <v>821</v>
      </c>
      <c r="B159" s="3" t="s">
        <v>822</v>
      </c>
      <c r="C159" s="3" t="s">
        <v>823</v>
      </c>
      <c r="D159" s="7" t="n">
        <v>3</v>
      </c>
      <c r="F159" s="7" t="n">
        <v>21904969</v>
      </c>
      <c r="G159" s="3" t="s">
        <v>544</v>
      </c>
      <c r="H159" s="3" t="s">
        <v>824</v>
      </c>
      <c r="I159" s="3" t="s">
        <v>825</v>
      </c>
      <c r="J159" s="3" t="s">
        <v>826</v>
      </c>
      <c r="K159" s="0" t="n">
        <v>0</v>
      </c>
      <c r="L159" s="0" t="n">
        <v>1000</v>
      </c>
      <c r="M159" s="0" t="n">
        <v>0</v>
      </c>
      <c r="N159" s="0" t="n">
        <v>1000</v>
      </c>
      <c r="O159" s="0" t="n">
        <v>0</v>
      </c>
      <c r="P159" s="0" t="n">
        <v>1000</v>
      </c>
    </row>
    <row r="160" customFormat="false" ht="15" hidden="false" customHeight="false" outlineLevel="0" collapsed="false">
      <c r="A160" s="3" t="s">
        <v>827</v>
      </c>
      <c r="B160" s="3" t="s">
        <v>828</v>
      </c>
      <c r="C160" s="3" t="s">
        <v>829</v>
      </c>
      <c r="D160" s="7" t="n">
        <v>2</v>
      </c>
      <c r="E160" s="3" t="s">
        <v>250</v>
      </c>
      <c r="G160" s="3" t="s">
        <v>251</v>
      </c>
      <c r="H160" s="3" t="s">
        <v>252</v>
      </c>
      <c r="I160" s="3" t="s">
        <v>253</v>
      </c>
      <c r="J160" s="3" t="s">
        <v>254</v>
      </c>
      <c r="K160" s="0" t="n">
        <v>0</v>
      </c>
      <c r="L160" s="0" t="n">
        <v>1000</v>
      </c>
      <c r="M160" s="0" t="n">
        <v>0</v>
      </c>
      <c r="N160" s="0" t="n">
        <v>1000</v>
      </c>
      <c r="O160" s="0" t="n">
        <v>0</v>
      </c>
      <c r="P160" s="0" t="n">
        <v>1000</v>
      </c>
    </row>
    <row r="161" customFormat="false" ht="15" hidden="false" customHeight="false" outlineLevel="0" collapsed="false">
      <c r="A161" s="3" t="s">
        <v>830</v>
      </c>
      <c r="B161" s="3" t="s">
        <v>831</v>
      </c>
      <c r="C161" s="3" t="s">
        <v>832</v>
      </c>
      <c r="D161" s="7" t="n">
        <v>2</v>
      </c>
      <c r="E161" s="3" t="s">
        <v>833</v>
      </c>
      <c r="G161" s="3" t="s">
        <v>481</v>
      </c>
      <c r="H161" s="3" t="s">
        <v>834</v>
      </c>
      <c r="I161" s="3" t="s">
        <v>835</v>
      </c>
      <c r="J161" s="3" t="s">
        <v>836</v>
      </c>
      <c r="K161" s="0" t="n">
        <v>-1000</v>
      </c>
      <c r="L161" s="0" t="n">
        <v>1000</v>
      </c>
      <c r="M161" s="0" t="n">
        <v>-1000</v>
      </c>
      <c r="N161" s="0" t="n">
        <v>1000</v>
      </c>
      <c r="O161" s="0" t="n">
        <v>-1000</v>
      </c>
      <c r="P161" s="0" t="n">
        <v>1000</v>
      </c>
    </row>
    <row r="162" customFormat="false" ht="15" hidden="false" customHeight="false" outlineLevel="0" collapsed="false">
      <c r="A162" s="3" t="s">
        <v>837</v>
      </c>
      <c r="B162" s="3" t="s">
        <v>838</v>
      </c>
      <c r="C162" s="3" t="s">
        <v>839</v>
      </c>
      <c r="D162" s="7" t="n">
        <v>2</v>
      </c>
      <c r="E162" s="3" t="s">
        <v>840</v>
      </c>
      <c r="G162" s="3" t="s">
        <v>481</v>
      </c>
      <c r="H162" s="3" t="s">
        <v>841</v>
      </c>
      <c r="I162" s="3" t="s">
        <v>842</v>
      </c>
      <c r="J162" s="3" t="s">
        <v>843</v>
      </c>
      <c r="K162" s="0" t="n">
        <v>-1000</v>
      </c>
      <c r="L162" s="0" t="n">
        <v>1000</v>
      </c>
      <c r="M162" s="0" t="n">
        <v>-1000</v>
      </c>
      <c r="N162" s="0" t="n">
        <v>1000</v>
      </c>
      <c r="O162" s="0" t="n">
        <v>-1000</v>
      </c>
      <c r="P162" s="0" t="n">
        <v>1000</v>
      </c>
    </row>
    <row r="163" customFormat="false" ht="15" hidden="false" customHeight="false" outlineLevel="0" collapsed="false">
      <c r="A163" s="3" t="s">
        <v>844</v>
      </c>
      <c r="B163" s="3" t="s">
        <v>845</v>
      </c>
      <c r="C163" s="3" t="s">
        <v>846</v>
      </c>
      <c r="D163" s="7" t="n">
        <v>2</v>
      </c>
      <c r="E163" s="3" t="s">
        <v>847</v>
      </c>
      <c r="G163" s="3" t="s">
        <v>446</v>
      </c>
      <c r="H163" s="3" t="s">
        <v>848</v>
      </c>
      <c r="I163" s="3" t="s">
        <v>849</v>
      </c>
      <c r="J163" s="3" t="s">
        <v>850</v>
      </c>
      <c r="K163" s="0" t="n">
        <v>-1000</v>
      </c>
      <c r="L163" s="0" t="n">
        <v>1000</v>
      </c>
      <c r="M163" s="0" t="n">
        <v>-1000</v>
      </c>
      <c r="N163" s="0" t="n">
        <v>1000</v>
      </c>
      <c r="O163" s="0" t="n">
        <v>-1000</v>
      </c>
      <c r="P163" s="0" t="n">
        <v>1000</v>
      </c>
    </row>
    <row r="164" customFormat="false" ht="15" hidden="false" customHeight="false" outlineLevel="0" collapsed="false">
      <c r="A164" s="3" t="s">
        <v>851</v>
      </c>
      <c r="B164" s="3" t="s">
        <v>852</v>
      </c>
      <c r="C164" s="3" t="s">
        <v>853</v>
      </c>
      <c r="D164" s="7" t="n">
        <v>2</v>
      </c>
      <c r="E164" s="3" t="s">
        <v>854</v>
      </c>
      <c r="G164" s="3" t="s">
        <v>438</v>
      </c>
      <c r="H164" s="3" t="s">
        <v>855</v>
      </c>
      <c r="I164" s="3" t="s">
        <v>856</v>
      </c>
      <c r="J164" s="3" t="s">
        <v>857</v>
      </c>
      <c r="K164" s="0" t="n">
        <v>-1000</v>
      </c>
      <c r="L164" s="0" t="n">
        <v>1000</v>
      </c>
      <c r="M164" s="0" t="n">
        <v>-1000</v>
      </c>
      <c r="N164" s="0" t="n">
        <v>1000</v>
      </c>
      <c r="O164" s="0" t="n">
        <v>-1000</v>
      </c>
      <c r="P164" s="0" t="n">
        <v>1000</v>
      </c>
    </row>
    <row r="165" customFormat="false" ht="15" hidden="false" customHeight="false" outlineLevel="0" collapsed="false">
      <c r="A165" s="3" t="s">
        <v>858</v>
      </c>
      <c r="B165" s="3" t="s">
        <v>859</v>
      </c>
      <c r="C165" s="3" t="s">
        <v>860</v>
      </c>
      <c r="D165" s="7" t="n">
        <v>2</v>
      </c>
      <c r="E165" s="3" t="s">
        <v>861</v>
      </c>
      <c r="G165" s="3" t="s">
        <v>251</v>
      </c>
      <c r="H165" s="3" t="s">
        <v>862</v>
      </c>
      <c r="I165" s="3" t="s">
        <v>863</v>
      </c>
      <c r="J165" s="3" t="s">
        <v>864</v>
      </c>
      <c r="K165" s="0" t="n">
        <v>0</v>
      </c>
      <c r="L165" s="0" t="n">
        <v>1000</v>
      </c>
      <c r="M165" s="0" t="n">
        <v>0</v>
      </c>
      <c r="N165" s="0" t="n">
        <v>1000</v>
      </c>
      <c r="O165" s="0" t="n">
        <v>0</v>
      </c>
      <c r="P165" s="0" t="n">
        <v>1000</v>
      </c>
    </row>
    <row r="166" customFormat="false" ht="15" hidden="false" customHeight="false" outlineLevel="0" collapsed="false">
      <c r="A166" s="3" t="s">
        <v>865</v>
      </c>
      <c r="B166" s="3" t="s">
        <v>866</v>
      </c>
      <c r="C166" s="3" t="s">
        <v>867</v>
      </c>
      <c r="D166" s="7" t="n">
        <v>2</v>
      </c>
      <c r="E166" s="3" t="s">
        <v>868</v>
      </c>
      <c r="G166" s="3" t="s">
        <v>251</v>
      </c>
      <c r="H166" s="3" t="s">
        <v>869</v>
      </c>
      <c r="I166" s="3" t="s">
        <v>870</v>
      </c>
      <c r="J166" s="3" t="s">
        <v>869</v>
      </c>
      <c r="K166" s="0" t="n">
        <v>0</v>
      </c>
      <c r="L166" s="0" t="n">
        <v>1000</v>
      </c>
      <c r="M166" s="0" t="n">
        <v>0</v>
      </c>
      <c r="N166" s="0" t="n">
        <v>1000</v>
      </c>
      <c r="O166" s="0" t="n">
        <v>0</v>
      </c>
      <c r="P166" s="0" t="n">
        <v>1000</v>
      </c>
    </row>
    <row r="167" customFormat="false" ht="15" hidden="false" customHeight="false" outlineLevel="0" collapsed="false">
      <c r="A167" s="3" t="s">
        <v>871</v>
      </c>
      <c r="B167" s="3" t="s">
        <v>872</v>
      </c>
      <c r="C167" s="3" t="s">
        <v>873</v>
      </c>
      <c r="D167" s="7" t="n">
        <v>2</v>
      </c>
      <c r="G167" s="3" t="s">
        <v>874</v>
      </c>
      <c r="H167" s="3" t="s">
        <v>875</v>
      </c>
      <c r="I167" s="3" t="s">
        <v>876</v>
      </c>
      <c r="J167" s="3" t="s">
        <v>877</v>
      </c>
      <c r="K167" s="0" t="n">
        <v>0</v>
      </c>
      <c r="L167" s="0" t="n">
        <v>1000</v>
      </c>
      <c r="M167" s="0" t="n">
        <v>0</v>
      </c>
      <c r="N167" s="0" t="n">
        <v>1000</v>
      </c>
      <c r="O167" s="0" t="n">
        <v>0</v>
      </c>
      <c r="P167" s="0" t="n">
        <v>1000</v>
      </c>
    </row>
    <row r="168" customFormat="false" ht="15" hidden="false" customHeight="false" outlineLevel="0" collapsed="false">
      <c r="A168" s="3" t="s">
        <v>878</v>
      </c>
      <c r="B168" s="3" t="s">
        <v>879</v>
      </c>
      <c r="C168" s="3" t="s">
        <v>880</v>
      </c>
      <c r="D168" s="7" t="n">
        <v>2</v>
      </c>
      <c r="E168" s="3" t="s">
        <v>881</v>
      </c>
      <c r="G168" s="3" t="s">
        <v>423</v>
      </c>
      <c r="H168" s="3" t="s">
        <v>882</v>
      </c>
      <c r="I168" s="3" t="s">
        <v>883</v>
      </c>
      <c r="J168" s="3" t="s">
        <v>884</v>
      </c>
      <c r="K168" s="0" t="n">
        <v>0</v>
      </c>
      <c r="L168" s="0" t="n">
        <v>1000</v>
      </c>
      <c r="M168" s="0" t="n">
        <v>0</v>
      </c>
      <c r="N168" s="0" t="n">
        <v>1000</v>
      </c>
      <c r="O168" s="0" t="n">
        <v>0</v>
      </c>
      <c r="P168" s="0" t="n">
        <v>1000</v>
      </c>
    </row>
    <row r="169" customFormat="false" ht="15" hidden="false" customHeight="false" outlineLevel="0" collapsed="false">
      <c r="A169" s="3" t="s">
        <v>885</v>
      </c>
      <c r="B169" s="3" t="s">
        <v>886</v>
      </c>
      <c r="C169" s="3" t="s">
        <v>887</v>
      </c>
      <c r="D169" s="7" t="n">
        <v>1</v>
      </c>
      <c r="G169" s="3" t="s">
        <v>328</v>
      </c>
      <c r="K169" s="0" t="n">
        <v>-1000</v>
      </c>
      <c r="L169" s="0" t="n">
        <v>1000</v>
      </c>
      <c r="M169" s="0" t="n">
        <v>-1000</v>
      </c>
      <c r="N169" s="0" t="n">
        <v>1000</v>
      </c>
      <c r="O169" s="0" t="n">
        <v>-1000</v>
      </c>
      <c r="P169" s="0" t="n">
        <v>1000</v>
      </c>
    </row>
    <row r="170" customFormat="false" ht="15" hidden="false" customHeight="false" outlineLevel="0" collapsed="false">
      <c r="A170" s="3" t="s">
        <v>888</v>
      </c>
      <c r="B170" s="3" t="s">
        <v>889</v>
      </c>
      <c r="C170" s="3" t="s">
        <v>890</v>
      </c>
      <c r="D170" s="7" t="n">
        <v>1</v>
      </c>
      <c r="E170" s="3" t="s">
        <v>891</v>
      </c>
      <c r="F170" s="7" t="n">
        <v>19077236</v>
      </c>
      <c r="G170" s="3" t="s">
        <v>386</v>
      </c>
      <c r="K170" s="0" t="n">
        <v>-1000</v>
      </c>
      <c r="L170" s="0" t="n">
        <v>1000</v>
      </c>
      <c r="M170" s="0" t="n">
        <v>-1000</v>
      </c>
      <c r="N170" s="0" t="n">
        <v>1000</v>
      </c>
      <c r="O170" s="0" t="n">
        <v>-1000</v>
      </c>
      <c r="P170" s="0" t="n">
        <v>1000</v>
      </c>
    </row>
    <row r="171" customFormat="false" ht="15" hidden="false" customHeight="false" outlineLevel="0" collapsed="false">
      <c r="A171" s="3" t="s">
        <v>892</v>
      </c>
      <c r="B171" s="3" t="s">
        <v>893</v>
      </c>
      <c r="C171" s="3" t="s">
        <v>894</v>
      </c>
      <c r="D171" s="7" t="n">
        <v>2</v>
      </c>
      <c r="E171" s="3" t="s">
        <v>895</v>
      </c>
      <c r="G171" s="3" t="s">
        <v>192</v>
      </c>
      <c r="H171" s="3" t="s">
        <v>896</v>
      </c>
      <c r="I171" s="3" t="s">
        <v>897</v>
      </c>
      <c r="J171" s="3" t="s">
        <v>898</v>
      </c>
      <c r="K171" s="0" t="n">
        <v>0</v>
      </c>
      <c r="L171" s="0" t="n">
        <v>1000</v>
      </c>
      <c r="M171" s="0" t="n">
        <v>0</v>
      </c>
      <c r="N171" s="0" t="n">
        <v>1000</v>
      </c>
      <c r="O171" s="0" t="n">
        <v>0</v>
      </c>
      <c r="P171" s="0" t="n">
        <v>1000</v>
      </c>
    </row>
    <row r="172" customFormat="false" ht="15" hidden="false" customHeight="false" outlineLevel="0" collapsed="false">
      <c r="A172" s="3" t="s">
        <v>899</v>
      </c>
      <c r="B172" s="3" t="s">
        <v>900</v>
      </c>
      <c r="C172" s="3" t="s">
        <v>901</v>
      </c>
      <c r="D172" s="7" t="n">
        <v>2</v>
      </c>
      <c r="E172" s="3" t="s">
        <v>895</v>
      </c>
      <c r="G172" s="3" t="s">
        <v>192</v>
      </c>
      <c r="H172" s="3" t="s">
        <v>902</v>
      </c>
      <c r="I172" s="3" t="s">
        <v>903</v>
      </c>
      <c r="J172" s="3" t="s">
        <v>904</v>
      </c>
      <c r="K172" s="0" t="n">
        <v>-1000</v>
      </c>
      <c r="L172" s="0" t="n">
        <v>1000</v>
      </c>
      <c r="M172" s="0" t="n">
        <v>-1000</v>
      </c>
      <c r="N172" s="0" t="n">
        <v>1000</v>
      </c>
      <c r="O172" s="0" t="n">
        <v>-1000</v>
      </c>
      <c r="P172" s="0" t="n">
        <v>1000</v>
      </c>
    </row>
    <row r="173" customFormat="false" ht="15" hidden="false" customHeight="false" outlineLevel="0" collapsed="false">
      <c r="A173" s="3" t="s">
        <v>905</v>
      </c>
      <c r="B173" s="3" t="s">
        <v>906</v>
      </c>
      <c r="C173" s="3" t="s">
        <v>907</v>
      </c>
      <c r="D173" s="7" t="n">
        <v>2</v>
      </c>
      <c r="E173" s="3" t="s">
        <v>908</v>
      </c>
      <c r="G173" s="3" t="s">
        <v>481</v>
      </c>
      <c r="H173" s="3" t="s">
        <v>909</v>
      </c>
      <c r="I173" s="3" t="s">
        <v>910</v>
      </c>
      <c r="J173" s="3" t="s">
        <v>911</v>
      </c>
      <c r="K173" s="0" t="n">
        <v>-1000</v>
      </c>
      <c r="L173" s="0" t="n">
        <v>1000</v>
      </c>
      <c r="M173" s="0" t="n">
        <v>-1000</v>
      </c>
      <c r="N173" s="0" t="n">
        <v>1000</v>
      </c>
      <c r="O173" s="0" t="n">
        <v>-1000</v>
      </c>
      <c r="P173" s="0" t="n">
        <v>1000</v>
      </c>
    </row>
    <row r="174" customFormat="false" ht="15" hidden="false" customHeight="false" outlineLevel="0" collapsed="false">
      <c r="A174" s="3" t="s">
        <v>912</v>
      </c>
      <c r="B174" s="3" t="s">
        <v>913</v>
      </c>
      <c r="C174" s="3" t="s">
        <v>914</v>
      </c>
      <c r="D174" s="7" t="n">
        <v>2</v>
      </c>
      <c r="E174" s="3" t="s">
        <v>915</v>
      </c>
      <c r="G174" s="3" t="s">
        <v>481</v>
      </c>
      <c r="H174" s="3" t="s">
        <v>916</v>
      </c>
      <c r="I174" s="3" t="s">
        <v>917</v>
      </c>
      <c r="J174" s="3" t="s">
        <v>918</v>
      </c>
      <c r="K174" s="0" t="n">
        <v>-1000</v>
      </c>
      <c r="L174" s="0" t="n">
        <v>1000</v>
      </c>
      <c r="M174" s="0" t="n">
        <v>-1000</v>
      </c>
      <c r="N174" s="0" t="n">
        <v>1000</v>
      </c>
      <c r="O174" s="0" t="n">
        <v>-1000</v>
      </c>
      <c r="P174" s="0" t="n">
        <v>1000</v>
      </c>
    </row>
    <row r="175" customFormat="false" ht="15" hidden="false" customHeight="false" outlineLevel="0" collapsed="false">
      <c r="A175" s="3" t="s">
        <v>919</v>
      </c>
      <c r="B175" s="3" t="s">
        <v>920</v>
      </c>
      <c r="C175" s="3" t="s">
        <v>921</v>
      </c>
      <c r="D175" s="7" t="n">
        <v>1</v>
      </c>
      <c r="E175" s="3" t="s">
        <v>922</v>
      </c>
      <c r="G175" s="3" t="s">
        <v>923</v>
      </c>
      <c r="K175" s="0" t="n">
        <v>-1000</v>
      </c>
      <c r="L175" s="0" t="n">
        <v>1000</v>
      </c>
      <c r="M175" s="0" t="n">
        <v>-1000</v>
      </c>
      <c r="N175" s="0" t="n">
        <v>1000</v>
      </c>
      <c r="O175" s="0" t="n">
        <v>-1000</v>
      </c>
      <c r="P175" s="0" t="n">
        <v>1000</v>
      </c>
    </row>
    <row r="176" customFormat="false" ht="15" hidden="false" customHeight="false" outlineLevel="0" collapsed="false">
      <c r="A176" s="3" t="s">
        <v>924</v>
      </c>
      <c r="B176" s="3" t="s">
        <v>925</v>
      </c>
      <c r="C176" s="3" t="s">
        <v>926</v>
      </c>
      <c r="D176" s="7" t="n">
        <v>2</v>
      </c>
      <c r="E176" s="3" t="s">
        <v>927</v>
      </c>
      <c r="G176" s="3" t="s">
        <v>923</v>
      </c>
      <c r="H176" s="3" t="s">
        <v>928</v>
      </c>
      <c r="I176" s="3" t="s">
        <v>929</v>
      </c>
      <c r="J176" s="3" t="s">
        <v>930</v>
      </c>
      <c r="K176" s="0" t="n">
        <v>0</v>
      </c>
      <c r="L176" s="0" t="n">
        <v>1000</v>
      </c>
      <c r="M176" s="0" t="n">
        <v>0</v>
      </c>
      <c r="N176" s="0" t="n">
        <v>1000</v>
      </c>
      <c r="O176" s="0" t="n">
        <v>0</v>
      </c>
      <c r="P176" s="0" t="n">
        <v>1000</v>
      </c>
    </row>
    <row r="177" customFormat="false" ht="15" hidden="false" customHeight="false" outlineLevel="0" collapsed="false">
      <c r="A177" s="3" t="s">
        <v>931</v>
      </c>
      <c r="B177" s="3" t="s">
        <v>932</v>
      </c>
      <c r="C177" s="3" t="s">
        <v>933</v>
      </c>
      <c r="D177" s="7" t="n">
        <v>2</v>
      </c>
      <c r="E177" s="3" t="s">
        <v>934</v>
      </c>
      <c r="G177" s="3" t="s">
        <v>923</v>
      </c>
      <c r="H177" s="3" t="s">
        <v>935</v>
      </c>
      <c r="I177" s="3" t="s">
        <v>936</v>
      </c>
      <c r="J177" s="3" t="s">
        <v>937</v>
      </c>
      <c r="K177" s="0" t="n">
        <v>-1000</v>
      </c>
      <c r="L177" s="0" t="n">
        <v>1000</v>
      </c>
      <c r="M177" s="0" t="n">
        <v>-1000</v>
      </c>
      <c r="N177" s="0" t="n">
        <v>1000</v>
      </c>
      <c r="O177" s="0" t="n">
        <v>-1000</v>
      </c>
      <c r="P177" s="0" t="n">
        <v>1000</v>
      </c>
    </row>
    <row r="178" customFormat="false" ht="15" hidden="false" customHeight="false" outlineLevel="0" collapsed="false">
      <c r="A178" s="3" t="s">
        <v>938</v>
      </c>
      <c r="B178" s="3" t="s">
        <v>939</v>
      </c>
      <c r="C178" s="3" t="s">
        <v>940</v>
      </c>
      <c r="D178" s="7" t="n">
        <v>2</v>
      </c>
      <c r="E178" s="3" t="s">
        <v>941</v>
      </c>
      <c r="G178" s="3" t="s">
        <v>308</v>
      </c>
      <c r="H178" s="3" t="s">
        <v>942</v>
      </c>
      <c r="I178" s="3" t="s">
        <v>943</v>
      </c>
      <c r="J178" s="3" t="s">
        <v>944</v>
      </c>
      <c r="K178" s="0" t="n">
        <v>0</v>
      </c>
      <c r="L178" s="0" t="n">
        <v>1000</v>
      </c>
      <c r="M178" s="0" t="n">
        <v>0</v>
      </c>
      <c r="N178" s="0" t="n">
        <v>1000</v>
      </c>
      <c r="O178" s="0" t="n">
        <v>0</v>
      </c>
      <c r="P178" s="0" t="n">
        <v>1000</v>
      </c>
    </row>
    <row r="179" customFormat="false" ht="15" hidden="false" customHeight="false" outlineLevel="0" collapsed="false">
      <c r="A179" s="3" t="s">
        <v>945</v>
      </c>
      <c r="B179" s="3" t="s">
        <v>946</v>
      </c>
      <c r="C179" s="3" t="s">
        <v>947</v>
      </c>
      <c r="D179" s="7" t="n">
        <v>2</v>
      </c>
      <c r="E179" s="3" t="s">
        <v>948</v>
      </c>
      <c r="G179" s="3" t="s">
        <v>308</v>
      </c>
      <c r="H179" s="3" t="s">
        <v>949</v>
      </c>
      <c r="I179" s="3" t="s">
        <v>950</v>
      </c>
      <c r="J179" s="3" t="s">
        <v>951</v>
      </c>
      <c r="K179" s="0" t="n">
        <v>-1000</v>
      </c>
      <c r="L179" s="0" t="n">
        <v>1000</v>
      </c>
      <c r="M179" s="0" t="n">
        <v>-1000</v>
      </c>
      <c r="N179" s="0" t="n">
        <v>1000</v>
      </c>
      <c r="O179" s="0" t="n">
        <v>-1000</v>
      </c>
      <c r="P179" s="0" t="n">
        <v>1000</v>
      </c>
    </row>
    <row r="180" customFormat="false" ht="15" hidden="false" customHeight="false" outlineLevel="0" collapsed="false">
      <c r="A180" s="3" t="s">
        <v>952</v>
      </c>
      <c r="B180" s="3" t="s">
        <v>953</v>
      </c>
      <c r="C180" s="3" t="s">
        <v>954</v>
      </c>
      <c r="D180" s="7" t="n">
        <v>2</v>
      </c>
      <c r="E180" s="3" t="s">
        <v>955</v>
      </c>
      <c r="G180" s="3" t="s">
        <v>446</v>
      </c>
      <c r="H180" s="3" t="s">
        <v>447</v>
      </c>
      <c r="I180" s="3" t="s">
        <v>448</v>
      </c>
      <c r="J180" s="3" t="s">
        <v>449</v>
      </c>
      <c r="K180" s="0" t="n">
        <v>0</v>
      </c>
      <c r="L180" s="0" t="n">
        <v>1000</v>
      </c>
      <c r="M180" s="0" t="n">
        <v>0</v>
      </c>
      <c r="N180" s="0" t="n">
        <v>1000</v>
      </c>
      <c r="O180" s="0" t="n">
        <v>0</v>
      </c>
      <c r="P180" s="0" t="n">
        <v>1000</v>
      </c>
    </row>
    <row r="181" customFormat="false" ht="15" hidden="false" customHeight="false" outlineLevel="0" collapsed="false">
      <c r="A181" s="3" t="s">
        <v>956</v>
      </c>
      <c r="B181" s="3" t="s">
        <v>957</v>
      </c>
      <c r="C181" s="3" t="s">
        <v>958</v>
      </c>
      <c r="D181" s="7" t="n">
        <v>2</v>
      </c>
      <c r="E181" s="3" t="s">
        <v>959</v>
      </c>
      <c r="G181" s="3" t="s">
        <v>923</v>
      </c>
      <c r="H181" s="3" t="s">
        <v>960</v>
      </c>
      <c r="I181" s="3" t="s">
        <v>961</v>
      </c>
      <c r="J181" s="3" t="s">
        <v>962</v>
      </c>
      <c r="K181" s="0" t="n">
        <v>-1000</v>
      </c>
      <c r="L181" s="0" t="n">
        <v>1000</v>
      </c>
      <c r="M181" s="0" t="n">
        <v>-1000</v>
      </c>
      <c r="N181" s="0" t="n">
        <v>1000</v>
      </c>
      <c r="O181" s="0" t="n">
        <v>-1000</v>
      </c>
      <c r="P181" s="0" t="n">
        <v>1000</v>
      </c>
    </row>
    <row r="182" customFormat="false" ht="15" hidden="false" customHeight="false" outlineLevel="0" collapsed="false">
      <c r="A182" s="3" t="s">
        <v>963</v>
      </c>
      <c r="B182" s="3" t="s">
        <v>964</v>
      </c>
      <c r="C182" s="3" t="s">
        <v>965</v>
      </c>
      <c r="D182" s="7" t="n">
        <v>2</v>
      </c>
      <c r="E182" s="3" t="s">
        <v>966</v>
      </c>
      <c r="F182" s="7" t="n">
        <v>10737802</v>
      </c>
      <c r="G182" s="3" t="s">
        <v>423</v>
      </c>
      <c r="H182" s="3" t="s">
        <v>967</v>
      </c>
      <c r="I182" s="3" t="s">
        <v>968</v>
      </c>
      <c r="J182" s="3" t="s">
        <v>969</v>
      </c>
      <c r="K182" s="0" t="n">
        <v>0</v>
      </c>
      <c r="L182" s="0" t="n">
        <v>1000</v>
      </c>
      <c r="M182" s="0" t="n">
        <v>0</v>
      </c>
      <c r="N182" s="0" t="n">
        <v>1000</v>
      </c>
      <c r="O182" s="0" t="n">
        <v>0</v>
      </c>
      <c r="P182" s="0" t="n">
        <v>1000</v>
      </c>
    </row>
    <row r="183" customFormat="false" ht="15" hidden="false" customHeight="false" outlineLevel="0" collapsed="false">
      <c r="A183" s="3" t="s">
        <v>970</v>
      </c>
      <c r="B183" s="3" t="s">
        <v>971</v>
      </c>
      <c r="C183" s="3" t="s">
        <v>972</v>
      </c>
      <c r="D183" s="7" t="n">
        <v>2</v>
      </c>
      <c r="E183" s="3" t="s">
        <v>973</v>
      </c>
      <c r="G183" s="3" t="s">
        <v>423</v>
      </c>
      <c r="H183" s="3" t="s">
        <v>974</v>
      </c>
      <c r="I183" s="3" t="s">
        <v>975</v>
      </c>
      <c r="J183" s="3" t="s">
        <v>976</v>
      </c>
      <c r="K183" s="0" t="n">
        <v>-1000</v>
      </c>
      <c r="L183" s="0" t="n">
        <v>1000</v>
      </c>
      <c r="M183" s="0" t="n">
        <v>-1000</v>
      </c>
      <c r="N183" s="0" t="n">
        <v>1000</v>
      </c>
      <c r="O183" s="0" t="n">
        <v>-1000</v>
      </c>
      <c r="P183" s="0" t="n">
        <v>1000</v>
      </c>
    </row>
    <row r="184" customFormat="false" ht="15" hidden="false" customHeight="false" outlineLevel="0" collapsed="false">
      <c r="A184" s="3" t="s">
        <v>977</v>
      </c>
      <c r="B184" s="3" t="s">
        <v>978</v>
      </c>
      <c r="C184" s="3" t="s">
        <v>979</v>
      </c>
      <c r="D184" s="7" t="n">
        <v>2</v>
      </c>
      <c r="E184" s="3" t="s">
        <v>980</v>
      </c>
      <c r="G184" s="3" t="s">
        <v>287</v>
      </c>
      <c r="H184" s="3" t="s">
        <v>981</v>
      </c>
      <c r="I184" s="3" t="s">
        <v>982</v>
      </c>
      <c r="J184" s="3" t="s">
        <v>981</v>
      </c>
      <c r="K184" s="0" t="n">
        <v>-1000</v>
      </c>
      <c r="L184" s="0" t="n">
        <v>1000</v>
      </c>
      <c r="M184" s="0" t="n">
        <v>-1000</v>
      </c>
      <c r="N184" s="0" t="n">
        <v>1000</v>
      </c>
      <c r="O184" s="0" t="n">
        <v>-1000</v>
      </c>
      <c r="P184" s="0" t="n">
        <v>1000</v>
      </c>
    </row>
    <row r="185" customFormat="false" ht="15" hidden="false" customHeight="false" outlineLevel="0" collapsed="false">
      <c r="A185" s="3" t="s">
        <v>983</v>
      </c>
      <c r="B185" s="3" t="s">
        <v>984</v>
      </c>
      <c r="C185" s="3" t="s">
        <v>985</v>
      </c>
      <c r="D185" s="7" t="n">
        <v>1</v>
      </c>
      <c r="E185" s="3" t="s">
        <v>986</v>
      </c>
      <c r="G185" s="3" t="s">
        <v>230</v>
      </c>
      <c r="K185" s="0" t="n">
        <v>0</v>
      </c>
      <c r="L185" s="0" t="n">
        <v>1000</v>
      </c>
      <c r="M185" s="0" t="n">
        <v>0</v>
      </c>
      <c r="N185" s="0" t="n">
        <v>1000</v>
      </c>
      <c r="O185" s="0" t="n">
        <v>0</v>
      </c>
      <c r="P185" s="0" t="n">
        <v>1000</v>
      </c>
    </row>
    <row r="186" customFormat="false" ht="15" hidden="false" customHeight="false" outlineLevel="0" collapsed="false">
      <c r="A186" s="3" t="s">
        <v>987</v>
      </c>
      <c r="B186" s="3" t="s">
        <v>988</v>
      </c>
      <c r="C186" s="3" t="s">
        <v>989</v>
      </c>
      <c r="D186" s="7" t="n">
        <v>2</v>
      </c>
      <c r="E186" s="3" t="s">
        <v>990</v>
      </c>
      <c r="G186" s="3" t="s">
        <v>656</v>
      </c>
      <c r="H186" s="3" t="s">
        <v>991</v>
      </c>
      <c r="I186" s="3" t="s">
        <v>992</v>
      </c>
      <c r="J186" s="3" t="s">
        <v>993</v>
      </c>
      <c r="K186" s="0" t="n">
        <v>0</v>
      </c>
      <c r="L186" s="0" t="n">
        <v>1000</v>
      </c>
      <c r="M186" s="0" t="n">
        <v>0</v>
      </c>
      <c r="N186" s="0" t="n">
        <v>1000</v>
      </c>
      <c r="O186" s="0" t="n">
        <v>0</v>
      </c>
      <c r="P186" s="0" t="n">
        <v>1000</v>
      </c>
    </row>
    <row r="187" customFormat="false" ht="15" hidden="false" customHeight="false" outlineLevel="0" collapsed="false">
      <c r="A187" s="3" t="s">
        <v>994</v>
      </c>
      <c r="B187" s="3" t="s">
        <v>995</v>
      </c>
      <c r="C187" s="3" t="s">
        <v>996</v>
      </c>
      <c r="D187" s="7" t="n">
        <v>1</v>
      </c>
      <c r="E187" s="3" t="s">
        <v>997</v>
      </c>
      <c r="G187" s="3" t="s">
        <v>259</v>
      </c>
      <c r="K187" s="0" t="n">
        <v>0</v>
      </c>
      <c r="L187" s="0" t="n">
        <v>1000</v>
      </c>
      <c r="M187" s="0" t="n">
        <v>0</v>
      </c>
      <c r="N187" s="0" t="n">
        <v>1000</v>
      </c>
      <c r="O187" s="0" t="n">
        <v>0</v>
      </c>
      <c r="P187" s="0" t="n">
        <v>1000</v>
      </c>
    </row>
    <row r="188" customFormat="false" ht="15" hidden="false" customHeight="false" outlineLevel="0" collapsed="false">
      <c r="A188" s="3" t="s">
        <v>998</v>
      </c>
      <c r="B188" s="3" t="s">
        <v>999</v>
      </c>
      <c r="C188" s="3" t="s">
        <v>1000</v>
      </c>
      <c r="D188" s="7" t="n">
        <v>1</v>
      </c>
      <c r="E188" s="3" t="s">
        <v>997</v>
      </c>
      <c r="G188" s="3" t="s">
        <v>259</v>
      </c>
      <c r="K188" s="0" t="n">
        <v>0</v>
      </c>
      <c r="L188" s="0" t="n">
        <v>1000</v>
      </c>
      <c r="M188" s="0" t="n">
        <v>0</v>
      </c>
      <c r="N188" s="0" t="n">
        <v>1000</v>
      </c>
      <c r="O188" s="0" t="n">
        <v>0</v>
      </c>
      <c r="P188" s="0" t="n">
        <v>1000</v>
      </c>
    </row>
    <row r="189" customFormat="false" ht="15" hidden="false" customHeight="false" outlineLevel="0" collapsed="false">
      <c r="A189" s="3" t="s">
        <v>1001</v>
      </c>
      <c r="B189" s="3" t="s">
        <v>1002</v>
      </c>
      <c r="C189" s="3" t="s">
        <v>1003</v>
      </c>
      <c r="D189" s="7" t="n">
        <v>2</v>
      </c>
      <c r="E189" s="3" t="s">
        <v>1004</v>
      </c>
      <c r="G189" s="3" t="s">
        <v>686</v>
      </c>
      <c r="H189" s="3" t="s">
        <v>1005</v>
      </c>
      <c r="I189" s="3" t="s">
        <v>1006</v>
      </c>
      <c r="J189" s="3" t="s">
        <v>1007</v>
      </c>
      <c r="K189" s="0" t="n">
        <v>-1000</v>
      </c>
      <c r="L189" s="0" t="n">
        <v>1000</v>
      </c>
      <c r="M189" s="0" t="n">
        <v>-1000</v>
      </c>
      <c r="N189" s="0" t="n">
        <v>1000</v>
      </c>
      <c r="O189" s="0" t="n">
        <v>-1000</v>
      </c>
      <c r="P189" s="0" t="n">
        <v>1000</v>
      </c>
    </row>
    <row r="190" customFormat="false" ht="15" hidden="false" customHeight="false" outlineLevel="0" collapsed="false">
      <c r="A190" s="3" t="s">
        <v>1008</v>
      </c>
      <c r="B190" s="3" t="s">
        <v>1009</v>
      </c>
      <c r="C190" s="3" t="s">
        <v>1010</v>
      </c>
      <c r="D190" s="7" t="n">
        <v>2</v>
      </c>
      <c r="E190" s="3" t="s">
        <v>1011</v>
      </c>
      <c r="G190" s="3" t="s">
        <v>1012</v>
      </c>
      <c r="H190" s="3" t="s">
        <v>1013</v>
      </c>
      <c r="I190" s="3" t="s">
        <v>1014</v>
      </c>
      <c r="J190" s="3" t="s">
        <v>1015</v>
      </c>
      <c r="K190" s="0" t="n">
        <v>-1000</v>
      </c>
      <c r="L190" s="0" t="n">
        <v>1000</v>
      </c>
      <c r="M190" s="0" t="n">
        <v>-1000</v>
      </c>
      <c r="N190" s="0" t="n">
        <v>1000</v>
      </c>
      <c r="O190" s="0" t="n">
        <v>-1000</v>
      </c>
      <c r="P190" s="0" t="n">
        <v>1000</v>
      </c>
    </row>
    <row r="191" customFormat="false" ht="15" hidden="false" customHeight="false" outlineLevel="0" collapsed="false">
      <c r="A191" s="3" t="s">
        <v>1016</v>
      </c>
      <c r="B191" s="3" t="s">
        <v>1017</v>
      </c>
      <c r="C191" s="3" t="s">
        <v>1018</v>
      </c>
      <c r="D191" s="7" t="n">
        <v>2</v>
      </c>
      <c r="E191" s="3" t="s">
        <v>1019</v>
      </c>
      <c r="G191" s="3" t="s">
        <v>1020</v>
      </c>
      <c r="H191" s="3" t="s">
        <v>1021</v>
      </c>
      <c r="I191" s="3" t="s">
        <v>1022</v>
      </c>
      <c r="J191" s="3" t="s">
        <v>1023</v>
      </c>
      <c r="K191" s="0" t="n">
        <v>0</v>
      </c>
      <c r="L191" s="0" t="n">
        <v>1000</v>
      </c>
      <c r="M191" s="0" t="n">
        <v>0</v>
      </c>
      <c r="N191" s="0" t="n">
        <v>1000</v>
      </c>
      <c r="O191" s="0" t="n">
        <v>0</v>
      </c>
      <c r="P191" s="0" t="n">
        <v>1000</v>
      </c>
    </row>
    <row r="192" customFormat="false" ht="15" hidden="false" customHeight="false" outlineLevel="0" collapsed="false">
      <c r="A192" s="3" t="s">
        <v>1024</v>
      </c>
      <c r="B192" s="3" t="s">
        <v>1025</v>
      </c>
      <c r="C192" s="3" t="s">
        <v>1026</v>
      </c>
      <c r="D192" s="7" t="n">
        <v>1</v>
      </c>
      <c r="E192" s="3" t="s">
        <v>1027</v>
      </c>
      <c r="G192" s="3" t="s">
        <v>230</v>
      </c>
      <c r="K192" s="0" t="n">
        <v>-1000</v>
      </c>
      <c r="L192" s="0" t="n">
        <v>1000</v>
      </c>
      <c r="M192" s="0" t="n">
        <v>-1000</v>
      </c>
      <c r="N192" s="0" t="n">
        <v>1000</v>
      </c>
      <c r="O192" s="0" t="n">
        <v>-1000</v>
      </c>
      <c r="P192" s="0" t="n">
        <v>1000</v>
      </c>
    </row>
    <row r="193" customFormat="false" ht="15" hidden="false" customHeight="false" outlineLevel="0" collapsed="false">
      <c r="A193" s="3" t="s">
        <v>1028</v>
      </c>
      <c r="B193" s="3" t="s">
        <v>1029</v>
      </c>
      <c r="C193" s="3" t="s">
        <v>1030</v>
      </c>
      <c r="D193" s="7" t="n">
        <v>2</v>
      </c>
      <c r="E193" s="3" t="s">
        <v>1031</v>
      </c>
      <c r="G193" s="3" t="s">
        <v>1032</v>
      </c>
      <c r="H193" s="3" t="s">
        <v>1033</v>
      </c>
      <c r="I193" s="3" t="s">
        <v>1034</v>
      </c>
      <c r="J193" s="3" t="s">
        <v>1035</v>
      </c>
      <c r="K193" s="0" t="n">
        <v>-1000</v>
      </c>
      <c r="L193" s="0" t="n">
        <v>1000</v>
      </c>
      <c r="M193" s="0" t="n">
        <v>-1000</v>
      </c>
      <c r="N193" s="0" t="n">
        <v>1000</v>
      </c>
      <c r="O193" s="0" t="n">
        <v>-1000</v>
      </c>
      <c r="P193" s="0" t="n">
        <v>1000</v>
      </c>
    </row>
    <row r="194" customFormat="false" ht="15" hidden="false" customHeight="false" outlineLevel="0" collapsed="false">
      <c r="A194" s="3" t="s">
        <v>1036</v>
      </c>
      <c r="B194" s="3" t="s">
        <v>1037</v>
      </c>
      <c r="C194" s="3" t="s">
        <v>1038</v>
      </c>
      <c r="D194" s="7" t="n">
        <v>2</v>
      </c>
      <c r="E194" s="3" t="s">
        <v>1039</v>
      </c>
      <c r="G194" s="3" t="s">
        <v>251</v>
      </c>
      <c r="H194" s="3" t="s">
        <v>1040</v>
      </c>
      <c r="I194" s="3" t="s">
        <v>1041</v>
      </c>
      <c r="J194" s="3" t="s">
        <v>1042</v>
      </c>
      <c r="K194" s="0" t="n">
        <v>-1000</v>
      </c>
      <c r="L194" s="0" t="n">
        <v>1000</v>
      </c>
      <c r="M194" s="0" t="n">
        <v>-1000</v>
      </c>
      <c r="N194" s="0" t="n">
        <v>1000</v>
      </c>
      <c r="O194" s="0" t="n">
        <v>-1000</v>
      </c>
      <c r="P194" s="0" t="n">
        <v>1000</v>
      </c>
    </row>
    <row r="195" customFormat="false" ht="15" hidden="false" customHeight="false" outlineLevel="0" collapsed="false">
      <c r="A195" s="3" t="s">
        <v>1043</v>
      </c>
      <c r="B195" s="3" t="s">
        <v>1044</v>
      </c>
      <c r="C195" s="3" t="s">
        <v>1045</v>
      </c>
      <c r="D195" s="7" t="n">
        <v>2</v>
      </c>
      <c r="E195" s="3" t="s">
        <v>1046</v>
      </c>
      <c r="G195" s="3" t="s">
        <v>1047</v>
      </c>
      <c r="H195" s="3" t="s">
        <v>1048</v>
      </c>
      <c r="I195" s="3" t="s">
        <v>1049</v>
      </c>
      <c r="J195" s="3" t="s">
        <v>1050</v>
      </c>
      <c r="K195" s="0" t="n">
        <v>-1000</v>
      </c>
      <c r="L195" s="0" t="n">
        <v>1000</v>
      </c>
      <c r="M195" s="0" t="n">
        <v>-1000</v>
      </c>
      <c r="N195" s="0" t="n">
        <v>1000</v>
      </c>
      <c r="O195" s="0" t="n">
        <v>-1000</v>
      </c>
      <c r="P195" s="0" t="n">
        <v>1000</v>
      </c>
    </row>
    <row r="196" customFormat="false" ht="15" hidden="false" customHeight="false" outlineLevel="0" collapsed="false">
      <c r="A196" s="3" t="s">
        <v>1051</v>
      </c>
      <c r="B196" s="3" t="s">
        <v>1052</v>
      </c>
      <c r="C196" s="3" t="s">
        <v>1053</v>
      </c>
      <c r="D196" s="7" t="n">
        <v>2</v>
      </c>
      <c r="E196" s="3" t="s">
        <v>1054</v>
      </c>
      <c r="G196" s="3" t="s">
        <v>251</v>
      </c>
      <c r="H196" s="3" t="s">
        <v>1055</v>
      </c>
      <c r="I196" s="3" t="s">
        <v>1056</v>
      </c>
      <c r="J196" s="3" t="s">
        <v>1057</v>
      </c>
      <c r="K196" s="0" t="n">
        <v>-1000</v>
      </c>
      <c r="L196" s="0" t="n">
        <v>1000</v>
      </c>
      <c r="M196" s="0" t="n">
        <v>-1000</v>
      </c>
      <c r="N196" s="0" t="n">
        <v>1000</v>
      </c>
      <c r="O196" s="0" t="n">
        <v>-1000</v>
      </c>
      <c r="P196" s="0" t="n">
        <v>1000</v>
      </c>
    </row>
    <row r="197" customFormat="false" ht="15" hidden="false" customHeight="false" outlineLevel="0" collapsed="false">
      <c r="A197" s="3" t="s">
        <v>1058</v>
      </c>
      <c r="B197" s="3" t="s">
        <v>1059</v>
      </c>
      <c r="C197" s="3" t="s">
        <v>1060</v>
      </c>
      <c r="D197" s="7" t="n">
        <v>2</v>
      </c>
      <c r="E197" s="3" t="s">
        <v>1061</v>
      </c>
      <c r="G197" s="3" t="s">
        <v>230</v>
      </c>
      <c r="H197" s="3" t="s">
        <v>1062</v>
      </c>
      <c r="I197" s="3" t="s">
        <v>1063</v>
      </c>
      <c r="J197" s="3" t="s">
        <v>1064</v>
      </c>
      <c r="K197" s="0" t="n">
        <v>-1000</v>
      </c>
      <c r="L197" s="0" t="n">
        <v>1000</v>
      </c>
      <c r="M197" s="0" t="n">
        <v>-1000</v>
      </c>
      <c r="N197" s="0" t="n">
        <v>1000</v>
      </c>
      <c r="O197" s="0" t="n">
        <v>-1000</v>
      </c>
      <c r="P197" s="0" t="n">
        <v>1000</v>
      </c>
    </row>
    <row r="198" customFormat="false" ht="15" hidden="false" customHeight="false" outlineLevel="0" collapsed="false">
      <c r="A198" s="3" t="s">
        <v>1065</v>
      </c>
      <c r="B198" s="3" t="s">
        <v>1066</v>
      </c>
      <c r="C198" s="3" t="s">
        <v>1067</v>
      </c>
      <c r="D198" s="7" t="n">
        <v>3</v>
      </c>
      <c r="E198" s="3" t="s">
        <v>1068</v>
      </c>
      <c r="F198" s="7" t="n">
        <v>238956</v>
      </c>
      <c r="G198" s="3" t="s">
        <v>56</v>
      </c>
      <c r="H198" s="3" t="s">
        <v>1069</v>
      </c>
      <c r="I198" s="3" t="s">
        <v>1070</v>
      </c>
      <c r="J198" s="3" t="s">
        <v>1071</v>
      </c>
      <c r="K198" s="0" t="n">
        <v>-1000</v>
      </c>
      <c r="L198" s="0" t="n">
        <v>1000</v>
      </c>
      <c r="M198" s="0" t="n">
        <v>-1000</v>
      </c>
      <c r="N198" s="0" t="n">
        <v>1000</v>
      </c>
      <c r="O198" s="0" t="n">
        <v>-1000</v>
      </c>
      <c r="P198" s="0" t="n">
        <v>1000</v>
      </c>
    </row>
    <row r="199" customFormat="false" ht="15" hidden="false" customHeight="false" outlineLevel="0" collapsed="false">
      <c r="A199" s="3" t="s">
        <v>1072</v>
      </c>
      <c r="B199" s="3" t="s">
        <v>1066</v>
      </c>
      <c r="C199" s="3" t="s">
        <v>1073</v>
      </c>
      <c r="D199" s="7" t="n">
        <v>3</v>
      </c>
      <c r="E199" s="3" t="s">
        <v>1068</v>
      </c>
      <c r="F199" s="7" t="n">
        <v>238956</v>
      </c>
      <c r="G199" s="3" t="s">
        <v>56</v>
      </c>
      <c r="H199" s="3" t="s">
        <v>1069</v>
      </c>
      <c r="I199" s="3" t="s">
        <v>1070</v>
      </c>
      <c r="J199" s="3" t="s">
        <v>1071</v>
      </c>
      <c r="K199" s="0" t="n">
        <v>-1000</v>
      </c>
      <c r="L199" s="0" t="n">
        <v>1000</v>
      </c>
      <c r="M199" s="0" t="n">
        <v>-1000</v>
      </c>
      <c r="N199" s="0" t="n">
        <v>1000</v>
      </c>
      <c r="O199" s="0" t="n">
        <v>-1000</v>
      </c>
      <c r="P199" s="0" t="n">
        <v>1000</v>
      </c>
    </row>
    <row r="200" customFormat="false" ht="15" hidden="false" customHeight="false" outlineLevel="0" collapsed="false">
      <c r="A200" s="3" t="s">
        <v>1074</v>
      </c>
      <c r="B200" s="3" t="s">
        <v>1066</v>
      </c>
      <c r="C200" s="3" t="s">
        <v>1075</v>
      </c>
      <c r="D200" s="7" t="n">
        <v>3</v>
      </c>
      <c r="E200" s="3" t="s">
        <v>1068</v>
      </c>
      <c r="F200" s="7" t="n">
        <v>238956</v>
      </c>
      <c r="G200" s="3" t="s">
        <v>56</v>
      </c>
      <c r="H200" s="3" t="s">
        <v>1069</v>
      </c>
      <c r="I200" s="3" t="s">
        <v>1070</v>
      </c>
      <c r="J200" s="3" t="s">
        <v>1071</v>
      </c>
      <c r="K200" s="0" t="n">
        <v>-1000</v>
      </c>
      <c r="L200" s="0" t="n">
        <v>1000</v>
      </c>
      <c r="M200" s="0" t="n">
        <v>-1000</v>
      </c>
      <c r="N200" s="0" t="n">
        <v>1000</v>
      </c>
      <c r="O200" s="0" t="n">
        <v>-1000</v>
      </c>
      <c r="P200" s="0" t="n">
        <v>1000</v>
      </c>
    </row>
    <row r="201" customFormat="false" ht="15" hidden="false" customHeight="false" outlineLevel="0" collapsed="false">
      <c r="A201" s="3" t="s">
        <v>1076</v>
      </c>
      <c r="B201" s="3" t="s">
        <v>1066</v>
      </c>
      <c r="C201" s="3" t="s">
        <v>1077</v>
      </c>
      <c r="D201" s="7" t="n">
        <v>3</v>
      </c>
      <c r="E201" s="3" t="s">
        <v>1068</v>
      </c>
      <c r="F201" s="7" t="n">
        <v>238956</v>
      </c>
      <c r="G201" s="3" t="s">
        <v>56</v>
      </c>
      <c r="H201" s="3" t="s">
        <v>1069</v>
      </c>
      <c r="I201" s="3" t="s">
        <v>1070</v>
      </c>
      <c r="J201" s="3" t="s">
        <v>1071</v>
      </c>
      <c r="K201" s="0" t="n">
        <v>-1000</v>
      </c>
      <c r="L201" s="0" t="n">
        <v>1000</v>
      </c>
      <c r="M201" s="0" t="n">
        <v>-1000</v>
      </c>
      <c r="N201" s="0" t="n">
        <v>1000</v>
      </c>
      <c r="O201" s="0" t="n">
        <v>-1000</v>
      </c>
      <c r="P201" s="0" t="n">
        <v>1000</v>
      </c>
    </row>
    <row r="202" customFormat="false" ht="15" hidden="false" customHeight="false" outlineLevel="0" collapsed="false">
      <c r="A202" s="3" t="s">
        <v>1078</v>
      </c>
      <c r="B202" s="3" t="s">
        <v>1066</v>
      </c>
      <c r="C202" s="3" t="s">
        <v>1079</v>
      </c>
      <c r="D202" s="7" t="n">
        <v>3</v>
      </c>
      <c r="E202" s="3" t="s">
        <v>1068</v>
      </c>
      <c r="F202" s="7" t="n">
        <v>238956</v>
      </c>
      <c r="G202" s="3" t="s">
        <v>56</v>
      </c>
      <c r="H202" s="3" t="s">
        <v>1069</v>
      </c>
      <c r="I202" s="3" t="s">
        <v>1070</v>
      </c>
      <c r="J202" s="3" t="s">
        <v>1071</v>
      </c>
      <c r="K202" s="0" t="n">
        <v>-1000</v>
      </c>
      <c r="L202" s="0" t="n">
        <v>1000</v>
      </c>
      <c r="M202" s="0" t="n">
        <v>-1000</v>
      </c>
      <c r="N202" s="0" t="n">
        <v>1000</v>
      </c>
      <c r="O202" s="0" t="n">
        <v>-1000</v>
      </c>
      <c r="P202" s="0" t="n">
        <v>1000</v>
      </c>
    </row>
    <row r="203" customFormat="false" ht="15" hidden="false" customHeight="false" outlineLevel="0" collapsed="false">
      <c r="A203" s="3" t="s">
        <v>1080</v>
      </c>
      <c r="B203" s="3" t="s">
        <v>1066</v>
      </c>
      <c r="C203" s="3" t="s">
        <v>1081</v>
      </c>
      <c r="D203" s="7" t="n">
        <v>3</v>
      </c>
      <c r="E203" s="3" t="s">
        <v>1068</v>
      </c>
      <c r="F203" s="7" t="n">
        <v>238956</v>
      </c>
      <c r="G203" s="3" t="s">
        <v>56</v>
      </c>
      <c r="H203" s="3" t="s">
        <v>1069</v>
      </c>
      <c r="I203" s="3" t="s">
        <v>1070</v>
      </c>
      <c r="J203" s="3" t="s">
        <v>1071</v>
      </c>
      <c r="K203" s="0" t="n">
        <v>-1000</v>
      </c>
      <c r="L203" s="0" t="n">
        <v>1000</v>
      </c>
      <c r="M203" s="0" t="n">
        <v>-1000</v>
      </c>
      <c r="N203" s="0" t="n">
        <v>1000</v>
      </c>
      <c r="O203" s="0" t="n">
        <v>-1000</v>
      </c>
      <c r="P203" s="0" t="n">
        <v>1000</v>
      </c>
    </row>
    <row r="204" customFormat="false" ht="15" hidden="false" customHeight="false" outlineLevel="0" collapsed="false">
      <c r="A204" s="3" t="s">
        <v>1082</v>
      </c>
      <c r="B204" s="3" t="s">
        <v>1066</v>
      </c>
      <c r="C204" s="3" t="s">
        <v>1083</v>
      </c>
      <c r="D204" s="7" t="n">
        <v>3</v>
      </c>
      <c r="E204" s="3" t="s">
        <v>1068</v>
      </c>
      <c r="F204" s="7" t="n">
        <v>238956</v>
      </c>
      <c r="G204" s="3" t="s">
        <v>56</v>
      </c>
      <c r="H204" s="3" t="s">
        <v>1069</v>
      </c>
      <c r="I204" s="3" t="s">
        <v>1070</v>
      </c>
      <c r="J204" s="3" t="s">
        <v>1071</v>
      </c>
      <c r="K204" s="0" t="n">
        <v>-1000</v>
      </c>
      <c r="L204" s="0" t="n">
        <v>1000</v>
      </c>
      <c r="M204" s="0" t="n">
        <v>-1000</v>
      </c>
      <c r="N204" s="0" t="n">
        <v>1000</v>
      </c>
      <c r="O204" s="0" t="n">
        <v>-1000</v>
      </c>
      <c r="P204" s="0" t="n">
        <v>1000</v>
      </c>
    </row>
    <row r="205" customFormat="false" ht="15" hidden="false" customHeight="false" outlineLevel="0" collapsed="false">
      <c r="A205" s="3" t="s">
        <v>1084</v>
      </c>
      <c r="B205" s="3" t="s">
        <v>1066</v>
      </c>
      <c r="C205" s="3" t="s">
        <v>1085</v>
      </c>
      <c r="D205" s="7" t="n">
        <v>3</v>
      </c>
      <c r="E205" s="3" t="s">
        <v>1068</v>
      </c>
      <c r="F205" s="7" t="n">
        <v>238956</v>
      </c>
      <c r="G205" s="3" t="s">
        <v>56</v>
      </c>
      <c r="H205" s="3" t="s">
        <v>1069</v>
      </c>
      <c r="I205" s="3" t="s">
        <v>1070</v>
      </c>
      <c r="J205" s="3" t="s">
        <v>1071</v>
      </c>
      <c r="K205" s="0" t="n">
        <v>-1000</v>
      </c>
      <c r="L205" s="0" t="n">
        <v>1000</v>
      </c>
      <c r="M205" s="0" t="n">
        <v>-1000</v>
      </c>
      <c r="N205" s="0" t="n">
        <v>1000</v>
      </c>
      <c r="O205" s="0" t="n">
        <v>-1000</v>
      </c>
      <c r="P205" s="0" t="n">
        <v>1000</v>
      </c>
    </row>
    <row r="206" customFormat="false" ht="15" hidden="false" customHeight="false" outlineLevel="0" collapsed="false">
      <c r="A206" s="3" t="s">
        <v>1086</v>
      </c>
      <c r="B206" s="3" t="s">
        <v>1066</v>
      </c>
      <c r="C206" s="3" t="s">
        <v>1087</v>
      </c>
      <c r="D206" s="7" t="n">
        <v>3</v>
      </c>
      <c r="E206" s="3" t="s">
        <v>1068</v>
      </c>
      <c r="F206" s="7" t="n">
        <v>238956</v>
      </c>
      <c r="G206" s="3" t="s">
        <v>56</v>
      </c>
      <c r="H206" s="3" t="s">
        <v>1069</v>
      </c>
      <c r="I206" s="3" t="s">
        <v>1070</v>
      </c>
      <c r="J206" s="3" t="s">
        <v>1071</v>
      </c>
      <c r="K206" s="0" t="n">
        <v>-1000</v>
      </c>
      <c r="L206" s="0" t="n">
        <v>1000</v>
      </c>
      <c r="M206" s="0" t="n">
        <v>-1000</v>
      </c>
      <c r="N206" s="0" t="n">
        <v>1000</v>
      </c>
      <c r="O206" s="0" t="n">
        <v>-1000</v>
      </c>
      <c r="P206" s="0" t="n">
        <v>1000</v>
      </c>
    </row>
    <row r="207" customFormat="false" ht="15" hidden="false" customHeight="false" outlineLevel="0" collapsed="false">
      <c r="A207" s="3" t="s">
        <v>1088</v>
      </c>
      <c r="B207" s="3" t="s">
        <v>1066</v>
      </c>
      <c r="C207" s="3" t="s">
        <v>1089</v>
      </c>
      <c r="D207" s="7" t="n">
        <v>3</v>
      </c>
      <c r="E207" s="3" t="s">
        <v>1068</v>
      </c>
      <c r="F207" s="7" t="n">
        <v>238956</v>
      </c>
      <c r="G207" s="3" t="s">
        <v>56</v>
      </c>
      <c r="H207" s="3" t="s">
        <v>1069</v>
      </c>
      <c r="I207" s="3" t="s">
        <v>1070</v>
      </c>
      <c r="J207" s="3" t="s">
        <v>1071</v>
      </c>
      <c r="K207" s="0" t="n">
        <v>-1000</v>
      </c>
      <c r="L207" s="0" t="n">
        <v>1000</v>
      </c>
      <c r="M207" s="0" t="n">
        <v>-1000</v>
      </c>
      <c r="N207" s="0" t="n">
        <v>1000</v>
      </c>
      <c r="O207" s="0" t="n">
        <v>-1000</v>
      </c>
      <c r="P207" s="0" t="n">
        <v>1000</v>
      </c>
    </row>
    <row r="208" customFormat="false" ht="15" hidden="false" customHeight="false" outlineLevel="0" collapsed="false">
      <c r="A208" s="3" t="s">
        <v>1090</v>
      </c>
      <c r="B208" s="3" t="s">
        <v>1066</v>
      </c>
      <c r="C208" s="3" t="s">
        <v>1091</v>
      </c>
      <c r="D208" s="7" t="n">
        <v>3</v>
      </c>
      <c r="E208" s="3" t="s">
        <v>1068</v>
      </c>
      <c r="F208" s="7" t="n">
        <v>238956</v>
      </c>
      <c r="G208" s="3" t="s">
        <v>56</v>
      </c>
      <c r="H208" s="3" t="s">
        <v>1069</v>
      </c>
      <c r="I208" s="3" t="s">
        <v>1070</v>
      </c>
      <c r="J208" s="3" t="s">
        <v>1071</v>
      </c>
      <c r="K208" s="0" t="n">
        <v>-1000</v>
      </c>
      <c r="L208" s="0" t="n">
        <v>1000</v>
      </c>
      <c r="M208" s="0" t="n">
        <v>-1000</v>
      </c>
      <c r="N208" s="0" t="n">
        <v>1000</v>
      </c>
      <c r="O208" s="0" t="n">
        <v>-1000</v>
      </c>
      <c r="P208" s="0" t="n">
        <v>1000</v>
      </c>
    </row>
    <row r="209" customFormat="false" ht="15" hidden="false" customHeight="false" outlineLevel="0" collapsed="false">
      <c r="A209" s="3" t="s">
        <v>1092</v>
      </c>
      <c r="B209" s="3" t="s">
        <v>1066</v>
      </c>
      <c r="C209" s="3" t="s">
        <v>1093</v>
      </c>
      <c r="D209" s="7" t="n">
        <v>3</v>
      </c>
      <c r="E209" s="3" t="s">
        <v>1068</v>
      </c>
      <c r="F209" s="7" t="n">
        <v>238956</v>
      </c>
      <c r="G209" s="3" t="s">
        <v>56</v>
      </c>
      <c r="H209" s="3" t="s">
        <v>1069</v>
      </c>
      <c r="I209" s="3" t="s">
        <v>1070</v>
      </c>
      <c r="J209" s="3" t="s">
        <v>1071</v>
      </c>
      <c r="K209" s="0" t="n">
        <v>-1000</v>
      </c>
      <c r="L209" s="0" t="n">
        <v>1000</v>
      </c>
      <c r="M209" s="0" t="n">
        <v>-1000</v>
      </c>
      <c r="N209" s="0" t="n">
        <v>1000</v>
      </c>
      <c r="O209" s="0" t="n">
        <v>-1000</v>
      </c>
      <c r="P209" s="0" t="n">
        <v>1000</v>
      </c>
    </row>
    <row r="210" customFormat="false" ht="15" hidden="false" customHeight="false" outlineLevel="0" collapsed="false">
      <c r="A210" s="3" t="s">
        <v>1094</v>
      </c>
      <c r="B210" s="3" t="s">
        <v>1066</v>
      </c>
      <c r="C210" s="3" t="s">
        <v>1095</v>
      </c>
      <c r="D210" s="7" t="n">
        <v>3</v>
      </c>
      <c r="E210" s="3" t="s">
        <v>1068</v>
      </c>
      <c r="F210" s="7" t="n">
        <v>238956</v>
      </c>
      <c r="G210" s="3" t="s">
        <v>56</v>
      </c>
      <c r="H210" s="3" t="s">
        <v>1069</v>
      </c>
      <c r="I210" s="3" t="s">
        <v>1070</v>
      </c>
      <c r="J210" s="3" t="s">
        <v>1071</v>
      </c>
      <c r="K210" s="0" t="n">
        <v>-1000</v>
      </c>
      <c r="L210" s="0" t="n">
        <v>1000</v>
      </c>
      <c r="M210" s="0" t="n">
        <v>-1000</v>
      </c>
      <c r="N210" s="0" t="n">
        <v>1000</v>
      </c>
      <c r="O210" s="0" t="n">
        <v>-1000</v>
      </c>
      <c r="P210" s="0" t="n">
        <v>1000</v>
      </c>
    </row>
    <row r="211" customFormat="false" ht="15" hidden="false" customHeight="false" outlineLevel="0" collapsed="false">
      <c r="A211" s="3" t="s">
        <v>1096</v>
      </c>
      <c r="B211" s="3" t="s">
        <v>1066</v>
      </c>
      <c r="C211" s="3" t="s">
        <v>1097</v>
      </c>
      <c r="D211" s="7" t="n">
        <v>3</v>
      </c>
      <c r="E211" s="3" t="s">
        <v>1068</v>
      </c>
      <c r="F211" s="7" t="n">
        <v>238956</v>
      </c>
      <c r="G211" s="3" t="s">
        <v>56</v>
      </c>
      <c r="H211" s="3" t="s">
        <v>1069</v>
      </c>
      <c r="I211" s="3" t="s">
        <v>1070</v>
      </c>
      <c r="J211" s="3" t="s">
        <v>1071</v>
      </c>
      <c r="K211" s="0" t="n">
        <v>-1000</v>
      </c>
      <c r="L211" s="0" t="n">
        <v>1000</v>
      </c>
      <c r="M211" s="0" t="n">
        <v>-1000</v>
      </c>
      <c r="N211" s="0" t="n">
        <v>1000</v>
      </c>
      <c r="O211" s="0" t="n">
        <v>-1000</v>
      </c>
      <c r="P211" s="0" t="n">
        <v>1000</v>
      </c>
    </row>
    <row r="212" customFormat="false" ht="15" hidden="false" customHeight="false" outlineLevel="0" collapsed="false">
      <c r="A212" s="3" t="s">
        <v>1098</v>
      </c>
      <c r="B212" s="3" t="s">
        <v>1066</v>
      </c>
      <c r="C212" s="3" t="s">
        <v>1099</v>
      </c>
      <c r="D212" s="7" t="n">
        <v>3</v>
      </c>
      <c r="E212" s="3" t="s">
        <v>1068</v>
      </c>
      <c r="F212" s="7" t="n">
        <v>238956</v>
      </c>
      <c r="G212" s="3" t="s">
        <v>56</v>
      </c>
      <c r="H212" s="3" t="s">
        <v>1069</v>
      </c>
      <c r="I212" s="3" t="s">
        <v>1070</v>
      </c>
      <c r="J212" s="3" t="s">
        <v>1071</v>
      </c>
      <c r="K212" s="0" t="n">
        <v>-1000</v>
      </c>
      <c r="L212" s="0" t="n">
        <v>1000</v>
      </c>
      <c r="M212" s="0" t="n">
        <v>-1000</v>
      </c>
      <c r="N212" s="0" t="n">
        <v>1000</v>
      </c>
      <c r="O212" s="0" t="n">
        <v>-1000</v>
      </c>
      <c r="P212" s="0" t="n">
        <v>1000</v>
      </c>
    </row>
    <row r="213" customFormat="false" ht="15" hidden="false" customHeight="false" outlineLevel="0" collapsed="false">
      <c r="A213" s="3" t="s">
        <v>1100</v>
      </c>
      <c r="B213" s="3" t="s">
        <v>1066</v>
      </c>
      <c r="C213" s="3" t="s">
        <v>1101</v>
      </c>
      <c r="D213" s="7" t="n">
        <v>3</v>
      </c>
      <c r="E213" s="3" t="s">
        <v>1068</v>
      </c>
      <c r="F213" s="7" t="n">
        <v>238956</v>
      </c>
      <c r="G213" s="3" t="s">
        <v>56</v>
      </c>
      <c r="H213" s="3" t="s">
        <v>1069</v>
      </c>
      <c r="I213" s="3" t="s">
        <v>1070</v>
      </c>
      <c r="J213" s="3" t="s">
        <v>1071</v>
      </c>
      <c r="K213" s="0" t="n">
        <v>-1000</v>
      </c>
      <c r="L213" s="0" t="n">
        <v>1000</v>
      </c>
      <c r="M213" s="0" t="n">
        <v>-1000</v>
      </c>
      <c r="N213" s="0" t="n">
        <v>1000</v>
      </c>
      <c r="O213" s="0" t="n">
        <v>-1000</v>
      </c>
      <c r="P213" s="0" t="n">
        <v>1000</v>
      </c>
    </row>
    <row r="214" customFormat="false" ht="15" hidden="false" customHeight="false" outlineLevel="0" collapsed="false">
      <c r="A214" s="3" t="s">
        <v>1102</v>
      </c>
      <c r="B214" s="3" t="s">
        <v>1066</v>
      </c>
      <c r="C214" s="3" t="s">
        <v>1103</v>
      </c>
      <c r="D214" s="7" t="n">
        <v>3</v>
      </c>
      <c r="E214" s="3" t="s">
        <v>1068</v>
      </c>
      <c r="F214" s="7" t="n">
        <v>238956</v>
      </c>
      <c r="G214" s="3" t="s">
        <v>56</v>
      </c>
      <c r="H214" s="3" t="s">
        <v>1069</v>
      </c>
      <c r="I214" s="3" t="s">
        <v>1070</v>
      </c>
      <c r="J214" s="3" t="s">
        <v>1071</v>
      </c>
      <c r="K214" s="0" t="n">
        <v>-1000</v>
      </c>
      <c r="L214" s="0" t="n">
        <v>1000</v>
      </c>
      <c r="M214" s="0" t="n">
        <v>-1000</v>
      </c>
      <c r="N214" s="0" t="n">
        <v>1000</v>
      </c>
      <c r="O214" s="0" t="n">
        <v>-1000</v>
      </c>
      <c r="P214" s="0" t="n">
        <v>1000</v>
      </c>
    </row>
    <row r="215" customFormat="false" ht="15" hidden="false" customHeight="false" outlineLevel="0" collapsed="false">
      <c r="A215" s="3" t="s">
        <v>1104</v>
      </c>
      <c r="B215" s="3" t="s">
        <v>1105</v>
      </c>
      <c r="C215" s="3" t="s">
        <v>1106</v>
      </c>
      <c r="D215" s="7" t="n">
        <v>2</v>
      </c>
      <c r="E215" s="3" t="s">
        <v>1107</v>
      </c>
      <c r="F215" s="7" t="n">
        <v>19077236</v>
      </c>
      <c r="G215" s="3" t="s">
        <v>556</v>
      </c>
      <c r="H215" s="3" t="s">
        <v>1108</v>
      </c>
      <c r="I215" s="3" t="s">
        <v>1109</v>
      </c>
      <c r="J215" s="3" t="s">
        <v>1110</v>
      </c>
      <c r="K215" s="0" t="n">
        <v>-1000</v>
      </c>
      <c r="L215" s="0" t="n">
        <v>1000</v>
      </c>
      <c r="M215" s="0" t="n">
        <v>-1000</v>
      </c>
      <c r="N215" s="0" t="n">
        <v>1000</v>
      </c>
      <c r="O215" s="0" t="n">
        <v>-1000</v>
      </c>
      <c r="P215" s="0" t="n">
        <v>1000</v>
      </c>
    </row>
    <row r="216" customFormat="false" ht="15" hidden="false" customHeight="false" outlineLevel="0" collapsed="false">
      <c r="A216" s="3" t="s">
        <v>1111</v>
      </c>
      <c r="B216" s="3" t="s">
        <v>1112</v>
      </c>
      <c r="C216" s="3" t="s">
        <v>1113</v>
      </c>
      <c r="D216" s="7" t="n">
        <v>3</v>
      </c>
      <c r="G216" s="3" t="s">
        <v>1114</v>
      </c>
      <c r="K216" s="0" t="n">
        <v>0</v>
      </c>
      <c r="L216" s="0" t="n">
        <v>1000</v>
      </c>
      <c r="M216" s="0" t="n">
        <v>0</v>
      </c>
      <c r="N216" s="0" t="n">
        <v>1000</v>
      </c>
      <c r="O216" s="0" t="n">
        <v>0</v>
      </c>
      <c r="P216" s="0" t="n">
        <v>1000</v>
      </c>
    </row>
    <row r="217" customFormat="false" ht="15" hidden="false" customHeight="false" outlineLevel="0" collapsed="false">
      <c r="A217" s="3" t="s">
        <v>1115</v>
      </c>
      <c r="B217" s="3" t="s">
        <v>1116</v>
      </c>
      <c r="C217" s="3" t="s">
        <v>1117</v>
      </c>
      <c r="D217" s="7" t="n">
        <v>1</v>
      </c>
      <c r="G217" s="3" t="s">
        <v>139</v>
      </c>
      <c r="K217" s="0" t="n">
        <v>-1000</v>
      </c>
      <c r="L217" s="0" t="n">
        <v>1000</v>
      </c>
      <c r="M217" s="0" t="n">
        <v>-1000</v>
      </c>
      <c r="N217" s="0" t="n">
        <v>1000</v>
      </c>
      <c r="O217" s="0" t="n">
        <v>-1000</v>
      </c>
      <c r="P217" s="0" t="n">
        <v>1000</v>
      </c>
    </row>
    <row r="218" customFormat="false" ht="15" hidden="false" customHeight="false" outlineLevel="0" collapsed="false">
      <c r="A218" s="3" t="s">
        <v>1118</v>
      </c>
      <c r="B218" s="3" t="s">
        <v>1119</v>
      </c>
      <c r="C218" s="3" t="s">
        <v>1120</v>
      </c>
      <c r="D218" s="7" t="n">
        <v>1</v>
      </c>
      <c r="G218" s="3" t="s">
        <v>143</v>
      </c>
      <c r="K218" s="0" t="n">
        <v>0</v>
      </c>
      <c r="L218" s="0" t="n">
        <v>1000</v>
      </c>
      <c r="M218" s="0" t="n">
        <v>0</v>
      </c>
      <c r="N218" s="0" t="n">
        <v>1000</v>
      </c>
      <c r="O218" s="0" t="n">
        <v>0</v>
      </c>
      <c r="P218" s="0" t="n">
        <v>1000</v>
      </c>
    </row>
    <row r="219" customFormat="false" ht="15" hidden="false" customHeight="false" outlineLevel="0" collapsed="false">
      <c r="A219" s="3" t="s">
        <v>1121</v>
      </c>
      <c r="B219" s="3" t="s">
        <v>1122</v>
      </c>
      <c r="C219" s="3" t="s">
        <v>1123</v>
      </c>
      <c r="G219" s="3" t="s">
        <v>551</v>
      </c>
      <c r="K219" s="0" t="n">
        <v>0</v>
      </c>
      <c r="L219" s="0" t="n">
        <v>1000</v>
      </c>
      <c r="M219" s="0" t="n">
        <v>0</v>
      </c>
      <c r="N219" s="0" t="n">
        <v>1000</v>
      </c>
      <c r="O219" s="0" t="n">
        <v>0</v>
      </c>
      <c r="P219" s="0" t="n">
        <v>1000</v>
      </c>
    </row>
    <row r="220" customFormat="false" ht="15" hidden="false" customHeight="false" outlineLevel="0" collapsed="false">
      <c r="A220" s="3" t="s">
        <v>1124</v>
      </c>
      <c r="B220" s="3" t="s">
        <v>1125</v>
      </c>
      <c r="C220" s="3" t="s">
        <v>1126</v>
      </c>
      <c r="G220" s="3" t="s">
        <v>551</v>
      </c>
      <c r="K220" s="0" t="n">
        <v>-1000</v>
      </c>
      <c r="L220" s="0" t="n">
        <v>1000</v>
      </c>
      <c r="M220" s="0" t="n">
        <v>-1000</v>
      </c>
      <c r="N220" s="0" t="n">
        <v>1000</v>
      </c>
      <c r="O220" s="0" t="n">
        <v>-1000</v>
      </c>
      <c r="P220" s="0" t="n">
        <v>1000</v>
      </c>
    </row>
    <row r="221" customFormat="false" ht="15" hidden="false" customHeight="false" outlineLevel="0" collapsed="false">
      <c r="A221" s="3" t="s">
        <v>1127</v>
      </c>
      <c r="B221" s="3" t="s">
        <v>1128</v>
      </c>
      <c r="C221" s="3" t="s">
        <v>1129</v>
      </c>
      <c r="G221" s="3" t="s">
        <v>551</v>
      </c>
      <c r="K221" s="0" t="n">
        <v>-1000</v>
      </c>
      <c r="L221" s="0" t="n">
        <v>1000</v>
      </c>
      <c r="M221" s="0" t="n">
        <v>-1000</v>
      </c>
      <c r="N221" s="0" t="n">
        <v>1000</v>
      </c>
      <c r="O221" s="0" t="n">
        <v>-1000</v>
      </c>
      <c r="P221" s="0" t="n">
        <v>1000</v>
      </c>
    </row>
    <row r="222" customFormat="false" ht="15" hidden="false" customHeight="false" outlineLevel="0" collapsed="false">
      <c r="A222" s="3" t="s">
        <v>1130</v>
      </c>
      <c r="B222" s="3" t="s">
        <v>1131</v>
      </c>
      <c r="C222" s="3" t="s">
        <v>1132</v>
      </c>
      <c r="G222" s="3" t="s">
        <v>551</v>
      </c>
      <c r="K222" s="0" t="n">
        <v>-1000</v>
      </c>
      <c r="L222" s="0" t="n">
        <v>1000</v>
      </c>
      <c r="M222" s="0" t="n">
        <v>-1000</v>
      </c>
      <c r="N222" s="0" t="n">
        <v>1000</v>
      </c>
      <c r="O222" s="0" t="n">
        <v>-1000</v>
      </c>
      <c r="P222" s="0" t="n">
        <v>1000</v>
      </c>
    </row>
    <row r="223" customFormat="false" ht="15" hidden="false" customHeight="false" outlineLevel="0" collapsed="false">
      <c r="A223" s="3" t="s">
        <v>1133</v>
      </c>
      <c r="B223" s="3" t="s">
        <v>1134</v>
      </c>
      <c r="C223" s="3" t="s">
        <v>1135</v>
      </c>
      <c r="G223" s="3" t="s">
        <v>551</v>
      </c>
      <c r="K223" s="0" t="n">
        <v>-1000</v>
      </c>
      <c r="L223" s="0" t="n">
        <v>1000</v>
      </c>
      <c r="M223" s="0" t="n">
        <v>0</v>
      </c>
      <c r="N223" s="0" t="n">
        <v>1000</v>
      </c>
      <c r="O223" s="0" t="n">
        <v>0</v>
      </c>
      <c r="P223" s="0" t="n">
        <v>1000</v>
      </c>
    </row>
    <row r="224" customFormat="false" ht="15" hidden="false" customHeight="false" outlineLevel="0" collapsed="false">
      <c r="A224" s="3" t="s">
        <v>1136</v>
      </c>
      <c r="B224" s="3" t="s">
        <v>1137</v>
      </c>
      <c r="C224" s="3" t="s">
        <v>1138</v>
      </c>
      <c r="G224" s="3" t="s">
        <v>551</v>
      </c>
      <c r="K224" s="0" t="n">
        <v>-1000</v>
      </c>
      <c r="L224" s="0" t="n">
        <v>1000</v>
      </c>
      <c r="M224" s="0" t="n">
        <v>-1000</v>
      </c>
      <c r="N224" s="0" t="n">
        <v>1000</v>
      </c>
      <c r="O224" s="0" t="n">
        <v>-1000</v>
      </c>
      <c r="P224" s="0" t="n">
        <v>1000</v>
      </c>
    </row>
    <row r="225" customFormat="false" ht="15" hidden="false" customHeight="false" outlineLevel="0" collapsed="false">
      <c r="A225" s="3" t="s">
        <v>1139</v>
      </c>
      <c r="B225" s="3" t="s">
        <v>1140</v>
      </c>
      <c r="C225" s="3" t="s">
        <v>1141</v>
      </c>
      <c r="G225" s="3" t="s">
        <v>551</v>
      </c>
      <c r="K225" s="0" t="n">
        <v>-1000</v>
      </c>
      <c r="L225" s="0" t="n">
        <v>1000</v>
      </c>
      <c r="M225" s="0" t="n">
        <v>-1000</v>
      </c>
      <c r="N225" s="0" t="n">
        <v>1000</v>
      </c>
      <c r="O225" s="0" t="n">
        <v>-1000</v>
      </c>
      <c r="P225" s="0" t="n">
        <v>1000</v>
      </c>
    </row>
    <row r="226" customFormat="false" ht="15" hidden="false" customHeight="false" outlineLevel="0" collapsed="false">
      <c r="A226" s="3" t="s">
        <v>1142</v>
      </c>
      <c r="B226" s="3" t="s">
        <v>1143</v>
      </c>
      <c r="C226" s="3" t="s">
        <v>1144</v>
      </c>
      <c r="G226" s="3" t="s">
        <v>551</v>
      </c>
      <c r="K226" s="0" t="n">
        <v>0</v>
      </c>
      <c r="L226" s="0" t="n">
        <v>1000</v>
      </c>
      <c r="M226" s="0" t="n">
        <v>0</v>
      </c>
      <c r="N226" s="0" t="n">
        <v>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3" t="s">
        <v>1145</v>
      </c>
      <c r="B227" s="3" t="s">
        <v>1146</v>
      </c>
      <c r="C227" s="3" t="s">
        <v>1147</v>
      </c>
      <c r="G227" s="3" t="s">
        <v>551</v>
      </c>
      <c r="K227" s="0" t="n">
        <v>-2</v>
      </c>
      <c r="L227" s="0" t="n">
        <v>-2</v>
      </c>
      <c r="M227" s="0" t="n">
        <v>-2</v>
      </c>
      <c r="N227" s="0" t="n">
        <v>-2</v>
      </c>
      <c r="O227" s="0" t="n">
        <v>-2</v>
      </c>
      <c r="P227" s="0" t="n">
        <v>-2</v>
      </c>
    </row>
    <row r="228" customFormat="false" ht="15" hidden="false" customHeight="false" outlineLevel="0" collapsed="false">
      <c r="A228" s="3" t="s">
        <v>1148</v>
      </c>
      <c r="B228" s="3" t="s">
        <v>1149</v>
      </c>
      <c r="C228" s="3" t="s">
        <v>1150</v>
      </c>
      <c r="G228" s="3" t="s">
        <v>551</v>
      </c>
      <c r="K228" s="0" t="n">
        <v>-1000</v>
      </c>
      <c r="L228" s="0" t="n">
        <v>1000</v>
      </c>
      <c r="M228" s="0" t="n">
        <v>-1000</v>
      </c>
      <c r="N228" s="0" t="n">
        <v>1000</v>
      </c>
      <c r="O228" s="0" t="n">
        <v>-1000</v>
      </c>
      <c r="P228" s="0" t="n">
        <v>1000</v>
      </c>
    </row>
    <row r="229" customFormat="false" ht="15" hidden="false" customHeight="false" outlineLevel="0" collapsed="false">
      <c r="A229" s="3" t="s">
        <v>1151</v>
      </c>
      <c r="B229" s="3" t="s">
        <v>1152</v>
      </c>
      <c r="C229" s="3" t="s">
        <v>1153</v>
      </c>
      <c r="G229" s="3" t="s">
        <v>551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3" t="s">
        <v>1154</v>
      </c>
      <c r="B230" s="3" t="s">
        <v>1155</v>
      </c>
      <c r="C230" s="3" t="s">
        <v>1156</v>
      </c>
      <c r="G230" s="3" t="s">
        <v>551</v>
      </c>
      <c r="K230" s="0" t="n">
        <v>-1000</v>
      </c>
      <c r="L230" s="0" t="n">
        <v>1000</v>
      </c>
      <c r="M230" s="0" t="n">
        <v>-1000</v>
      </c>
      <c r="N230" s="0" t="n">
        <v>1000</v>
      </c>
      <c r="O230" s="0" t="n">
        <v>-1000</v>
      </c>
      <c r="P230" s="0" t="n">
        <v>1000</v>
      </c>
    </row>
    <row r="231" customFormat="false" ht="15" hidden="false" customHeight="false" outlineLevel="0" collapsed="false">
      <c r="A231" s="3" t="s">
        <v>1157</v>
      </c>
      <c r="B231" s="3" t="s">
        <v>1158</v>
      </c>
      <c r="C231" s="3" t="s">
        <v>1159</v>
      </c>
      <c r="G231" s="3" t="s">
        <v>551</v>
      </c>
      <c r="K231" s="0" t="n">
        <v>-1000</v>
      </c>
      <c r="L231" s="0" t="n">
        <v>1000</v>
      </c>
      <c r="M231" s="0" t="n">
        <v>-1000</v>
      </c>
      <c r="N231" s="0" t="n">
        <v>1000</v>
      </c>
      <c r="O231" s="0" t="n">
        <v>-1000</v>
      </c>
      <c r="P231" s="0" t="n">
        <v>1000</v>
      </c>
    </row>
    <row r="232" customFormat="false" ht="15" hidden="false" customHeight="false" outlineLevel="0" collapsed="false">
      <c r="A232" s="3" t="s">
        <v>1160</v>
      </c>
      <c r="B232" s="3" t="s">
        <v>1161</v>
      </c>
      <c r="C232" s="3" t="s">
        <v>1162</v>
      </c>
      <c r="G232" s="3" t="s">
        <v>551</v>
      </c>
      <c r="K232" s="0" t="n">
        <v>-1000</v>
      </c>
      <c r="L232" s="0" t="n">
        <v>1000</v>
      </c>
      <c r="M232" s="0" t="n">
        <v>-1000</v>
      </c>
      <c r="N232" s="0" t="n">
        <v>1000</v>
      </c>
      <c r="O232" s="0" t="n">
        <v>-1000</v>
      </c>
      <c r="P232" s="0" t="n">
        <v>1000</v>
      </c>
    </row>
    <row r="233" customFormat="false" ht="15" hidden="false" customHeight="false" outlineLevel="0" collapsed="false">
      <c r="A233" s="3" t="s">
        <v>1163</v>
      </c>
      <c r="B233" s="3" t="s">
        <v>1164</v>
      </c>
      <c r="C233" s="3" t="s">
        <v>1165</v>
      </c>
      <c r="G233" s="3" t="s">
        <v>551</v>
      </c>
      <c r="K233" s="0" t="n">
        <v>-1000</v>
      </c>
      <c r="L233" s="0" t="n">
        <v>1000</v>
      </c>
      <c r="M233" s="0" t="n">
        <v>-1000</v>
      </c>
      <c r="N233" s="0" t="n">
        <v>1000</v>
      </c>
      <c r="O233" s="0" t="n">
        <v>-1000</v>
      </c>
      <c r="P233" s="0" t="n">
        <v>1000</v>
      </c>
    </row>
    <row r="234" customFormat="false" ht="15" hidden="false" customHeight="false" outlineLevel="0" collapsed="false">
      <c r="A234" s="3" t="s">
        <v>1166</v>
      </c>
      <c r="B234" s="3" t="s">
        <v>1167</v>
      </c>
      <c r="C234" s="3" t="s">
        <v>1168</v>
      </c>
      <c r="G234" s="3" t="s">
        <v>551</v>
      </c>
      <c r="K234" s="0" t="n">
        <v>-1000</v>
      </c>
      <c r="L234" s="0" t="n">
        <v>1000</v>
      </c>
      <c r="M234" s="0" t="n">
        <v>-1000</v>
      </c>
      <c r="N234" s="0" t="n">
        <v>1000</v>
      </c>
      <c r="O234" s="0" t="n">
        <v>-1000</v>
      </c>
      <c r="P234" s="0" t="n">
        <v>1000</v>
      </c>
    </row>
    <row r="235" customFormat="false" ht="15" hidden="false" customHeight="false" outlineLevel="0" collapsed="false">
      <c r="A235" s="3" t="s">
        <v>1169</v>
      </c>
      <c r="B235" s="3" t="s">
        <v>1170</v>
      </c>
      <c r="C235" s="3" t="s">
        <v>1171</v>
      </c>
      <c r="G235" s="3" t="s">
        <v>551</v>
      </c>
      <c r="K235" s="0" t="n">
        <v>-1000</v>
      </c>
      <c r="L235" s="0" t="n">
        <v>1000</v>
      </c>
      <c r="M235" s="0" t="n">
        <v>-1000</v>
      </c>
      <c r="N235" s="0" t="n">
        <v>1000</v>
      </c>
      <c r="O235" s="0" t="n">
        <v>-1000</v>
      </c>
      <c r="P235" s="0" t="n">
        <v>1000</v>
      </c>
    </row>
    <row r="236" customFormat="false" ht="15" hidden="false" customHeight="false" outlineLevel="0" collapsed="false">
      <c r="A236" s="3" t="s">
        <v>1172</v>
      </c>
      <c r="B236" s="3" t="s">
        <v>1173</v>
      </c>
      <c r="C236" s="3" t="s">
        <v>1174</v>
      </c>
      <c r="G236" s="3" t="s">
        <v>551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3" t="s">
        <v>1175</v>
      </c>
      <c r="B237" s="3" t="s">
        <v>1176</v>
      </c>
      <c r="C237" s="3" t="s">
        <v>1177</v>
      </c>
      <c r="G237" s="3" t="s">
        <v>551</v>
      </c>
      <c r="K237" s="0" t="n">
        <v>-1000</v>
      </c>
      <c r="L237" s="0" t="n">
        <v>1000</v>
      </c>
      <c r="M237" s="0" t="n">
        <v>-1000</v>
      </c>
      <c r="N237" s="0" t="n">
        <v>1000</v>
      </c>
      <c r="O237" s="0" t="n">
        <v>-1000</v>
      </c>
      <c r="P237" s="0" t="n">
        <v>1000</v>
      </c>
    </row>
    <row r="238" customFormat="false" ht="15" hidden="false" customHeight="false" outlineLevel="0" collapsed="false">
      <c r="A238" s="3" t="s">
        <v>1178</v>
      </c>
      <c r="B238" s="3" t="s">
        <v>1179</v>
      </c>
      <c r="C238" s="3" t="s">
        <v>1180</v>
      </c>
      <c r="G238" s="3" t="s">
        <v>551</v>
      </c>
      <c r="K238" s="0" t="n">
        <v>-1000</v>
      </c>
      <c r="L238" s="0" t="n">
        <v>1000</v>
      </c>
      <c r="M238" s="0" t="n">
        <v>-1000</v>
      </c>
      <c r="N238" s="0" t="n">
        <v>1000</v>
      </c>
      <c r="O238" s="0" t="n">
        <v>-1000</v>
      </c>
      <c r="P238" s="0" t="n">
        <v>1000</v>
      </c>
    </row>
    <row r="239" customFormat="false" ht="15" hidden="false" customHeight="false" outlineLevel="0" collapsed="false">
      <c r="A239" s="3" t="s">
        <v>1181</v>
      </c>
      <c r="B239" s="3" t="s">
        <v>1182</v>
      </c>
      <c r="C239" s="3" t="s">
        <v>1183</v>
      </c>
      <c r="G239" s="3" t="s">
        <v>551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3" t="s">
        <v>1184</v>
      </c>
      <c r="B240" s="3" t="s">
        <v>1185</v>
      </c>
      <c r="C240" s="3" t="s">
        <v>1186</v>
      </c>
      <c r="G240" s="3" t="s">
        <v>551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3" t="s">
        <v>1187</v>
      </c>
      <c r="B241" s="3" t="s">
        <v>1188</v>
      </c>
      <c r="C241" s="3" t="s">
        <v>1189</v>
      </c>
      <c r="G241" s="3" t="s">
        <v>551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3" t="s">
        <v>1190</v>
      </c>
      <c r="B242" s="3" t="s">
        <v>1191</v>
      </c>
      <c r="C242" s="3" t="s">
        <v>1192</v>
      </c>
      <c r="G242" s="3" t="s">
        <v>551</v>
      </c>
      <c r="K242" s="0" t="n">
        <v>0</v>
      </c>
      <c r="L242" s="0" t="n">
        <v>0</v>
      </c>
      <c r="M242" s="0" t="n">
        <v>0</v>
      </c>
      <c r="N242" s="0" t="n">
        <v>1000</v>
      </c>
      <c r="O242" s="0" t="n">
        <v>0</v>
      </c>
      <c r="P242" s="0" t="n">
        <v>1000</v>
      </c>
    </row>
    <row r="243" customFormat="false" ht="15" hidden="false" customHeight="false" outlineLevel="0" collapsed="false">
      <c r="A243" s="3" t="s">
        <v>1193</v>
      </c>
      <c r="B243" s="3" t="s">
        <v>1191</v>
      </c>
      <c r="C243" s="3" t="s">
        <v>1194</v>
      </c>
      <c r="G243" s="3" t="s">
        <v>551</v>
      </c>
      <c r="K243" s="0" t="n">
        <v>-1000</v>
      </c>
      <c r="L243" s="0" t="n">
        <v>0</v>
      </c>
      <c r="M243" s="0" t="n">
        <v>-1000</v>
      </c>
      <c r="N243" s="0" t="n">
        <v>0</v>
      </c>
      <c r="O243" s="0" t="n">
        <v>-1000</v>
      </c>
      <c r="P243" s="0" t="n">
        <v>0</v>
      </c>
    </row>
    <row r="244" customFormat="false" ht="15" hidden="false" customHeight="false" outlineLevel="0" collapsed="false">
      <c r="A244" s="3" t="s">
        <v>1195</v>
      </c>
      <c r="B244" s="3" t="s">
        <v>1196</v>
      </c>
      <c r="C244" s="3" t="s">
        <v>1197</v>
      </c>
      <c r="G244" s="3" t="s">
        <v>551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-1000</v>
      </c>
      <c r="P244" s="0" t="n">
        <v>0</v>
      </c>
    </row>
    <row r="245" customFormat="false" ht="15" hidden="false" customHeight="false" outlineLevel="0" collapsed="false">
      <c r="A245" s="3" t="s">
        <v>1198</v>
      </c>
      <c r="B245" s="3" t="s">
        <v>1199</v>
      </c>
      <c r="C245" s="3" t="s">
        <v>1200</v>
      </c>
      <c r="G245" s="3" t="s">
        <v>551</v>
      </c>
      <c r="K245" s="0" t="n">
        <v>0</v>
      </c>
      <c r="L245" s="0" t="n">
        <v>0</v>
      </c>
      <c r="M245" s="0" t="n">
        <v>-1000</v>
      </c>
      <c r="N245" s="0" t="n">
        <v>0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3" t="s">
        <v>1201</v>
      </c>
      <c r="B246" s="3" t="s">
        <v>1202</v>
      </c>
      <c r="C246" s="3" t="s">
        <v>1203</v>
      </c>
      <c r="G246" s="3" t="s">
        <v>551</v>
      </c>
      <c r="K246" s="0" t="n">
        <v>-1000</v>
      </c>
      <c r="L246" s="0" t="n">
        <v>1000</v>
      </c>
      <c r="M246" s="0" t="n">
        <v>-1000</v>
      </c>
      <c r="N246" s="0" t="n">
        <v>1000</v>
      </c>
      <c r="O246" s="0" t="n">
        <v>-1000</v>
      </c>
      <c r="P246" s="0" t="n">
        <v>1000</v>
      </c>
    </row>
    <row r="247" customFormat="false" ht="15" hidden="false" customHeight="false" outlineLevel="0" collapsed="false">
      <c r="A247" s="3" t="s">
        <v>1204</v>
      </c>
      <c r="B247" s="3" t="s">
        <v>1205</v>
      </c>
      <c r="C247" s="3" t="s">
        <v>1206</v>
      </c>
      <c r="D247" s="7" t="n">
        <v>3</v>
      </c>
      <c r="F247" s="7" t="n">
        <v>20582711</v>
      </c>
      <c r="G247" s="3" t="s">
        <v>664</v>
      </c>
      <c r="K247" s="0" t="n">
        <v>0</v>
      </c>
      <c r="L247" s="0" t="n">
        <v>1000</v>
      </c>
      <c r="M247" s="0" t="n">
        <v>0</v>
      </c>
      <c r="N247" s="0" t="n">
        <v>1000</v>
      </c>
      <c r="O247" s="0" t="n">
        <v>0</v>
      </c>
      <c r="P247" s="0" t="n">
        <v>1000</v>
      </c>
    </row>
    <row r="248" customFormat="false" ht="15" hidden="false" customHeight="false" outlineLevel="0" collapsed="false">
      <c r="A248" s="3" t="s">
        <v>1207</v>
      </c>
      <c r="B248" s="3" t="s">
        <v>1208</v>
      </c>
      <c r="C248" s="3" t="s">
        <v>1209</v>
      </c>
      <c r="D248" s="7" t="n">
        <v>2</v>
      </c>
      <c r="E248" s="3" t="s">
        <v>1210</v>
      </c>
      <c r="F248" s="7" t="n">
        <v>19077236</v>
      </c>
      <c r="G248" s="3" t="s">
        <v>1211</v>
      </c>
      <c r="H248" s="3" t="s">
        <v>1212</v>
      </c>
      <c r="I248" s="3" t="s">
        <v>1213</v>
      </c>
      <c r="J248" s="3" t="s">
        <v>1212</v>
      </c>
      <c r="K248" s="0" t="n">
        <v>-1000</v>
      </c>
      <c r="L248" s="0" t="n">
        <v>1000</v>
      </c>
      <c r="M248" s="0" t="n">
        <v>-1000</v>
      </c>
      <c r="N248" s="0" t="n">
        <v>1000</v>
      </c>
      <c r="O248" s="0" t="n">
        <v>-1000</v>
      </c>
      <c r="P248" s="0" t="n">
        <v>1000</v>
      </c>
    </row>
    <row r="249" customFormat="false" ht="15" hidden="false" customHeight="false" outlineLevel="0" collapsed="false">
      <c r="A249" s="3" t="s">
        <v>1214</v>
      </c>
      <c r="B249" s="3" t="s">
        <v>1215</v>
      </c>
      <c r="C249" s="3" t="s">
        <v>1216</v>
      </c>
      <c r="D249" s="7" t="n">
        <v>2</v>
      </c>
      <c r="E249" s="3" t="s">
        <v>1210</v>
      </c>
      <c r="F249" s="7" t="n">
        <v>19077236</v>
      </c>
      <c r="G249" s="3" t="s">
        <v>1217</v>
      </c>
      <c r="H249" s="3" t="s">
        <v>1218</v>
      </c>
      <c r="I249" s="3" t="s">
        <v>1219</v>
      </c>
      <c r="J249" s="3" t="s">
        <v>1220</v>
      </c>
      <c r="K249" s="0" t="n">
        <v>-1000</v>
      </c>
      <c r="L249" s="0" t="n">
        <v>1000</v>
      </c>
      <c r="M249" s="0" t="n">
        <v>-1000</v>
      </c>
      <c r="N249" s="0" t="n">
        <v>1000</v>
      </c>
      <c r="O249" s="0" t="n">
        <v>-1000</v>
      </c>
      <c r="P249" s="0" t="n">
        <v>1000</v>
      </c>
    </row>
    <row r="250" customFormat="false" ht="15" hidden="false" customHeight="false" outlineLevel="0" collapsed="false">
      <c r="A250" s="3" t="s">
        <v>1221</v>
      </c>
      <c r="B250" s="3" t="s">
        <v>1222</v>
      </c>
      <c r="C250" s="3" t="s">
        <v>1223</v>
      </c>
      <c r="D250" s="7" t="n">
        <v>2</v>
      </c>
      <c r="E250" s="3" t="s">
        <v>1224</v>
      </c>
      <c r="F250" s="7" t="n">
        <v>19077236</v>
      </c>
      <c r="G250" s="3" t="s">
        <v>1211</v>
      </c>
      <c r="H250" s="3" t="s">
        <v>1225</v>
      </c>
      <c r="I250" s="3" t="s">
        <v>1226</v>
      </c>
      <c r="J250" s="3" t="s">
        <v>1227</v>
      </c>
      <c r="K250" s="0" t="n">
        <v>0</v>
      </c>
      <c r="L250" s="0" t="n">
        <v>1000</v>
      </c>
      <c r="M250" s="0" t="n">
        <v>0</v>
      </c>
      <c r="N250" s="0" t="n">
        <v>1000</v>
      </c>
      <c r="O250" s="0" t="n">
        <v>0</v>
      </c>
      <c r="P250" s="0" t="n">
        <v>1000</v>
      </c>
    </row>
    <row r="251" customFormat="false" ht="15" hidden="false" customHeight="false" outlineLevel="0" collapsed="false">
      <c r="A251" s="3" t="s">
        <v>1228</v>
      </c>
      <c r="B251" s="3" t="s">
        <v>1229</v>
      </c>
      <c r="C251" s="3" t="s">
        <v>1230</v>
      </c>
      <c r="D251" s="7" t="n">
        <v>2</v>
      </c>
      <c r="E251" s="3" t="s">
        <v>1231</v>
      </c>
      <c r="G251" s="3" t="s">
        <v>700</v>
      </c>
      <c r="H251" s="3" t="s">
        <v>1232</v>
      </c>
      <c r="I251" s="3" t="s">
        <v>1233</v>
      </c>
      <c r="J251" s="3" t="s">
        <v>1234</v>
      </c>
      <c r="K251" s="0" t="n">
        <v>-1000</v>
      </c>
      <c r="L251" s="0" t="n">
        <v>1000</v>
      </c>
      <c r="M251" s="0" t="n">
        <v>-1000</v>
      </c>
      <c r="N251" s="0" t="n">
        <v>1000</v>
      </c>
      <c r="O251" s="0" t="n">
        <v>-1000</v>
      </c>
      <c r="P251" s="0" t="n">
        <v>1000</v>
      </c>
    </row>
    <row r="252" customFormat="false" ht="15" hidden="false" customHeight="false" outlineLevel="0" collapsed="false">
      <c r="A252" s="3" t="s">
        <v>1235</v>
      </c>
      <c r="B252" s="3" t="s">
        <v>1236</v>
      </c>
      <c r="C252" s="3" t="s">
        <v>1237</v>
      </c>
      <c r="D252" s="7" t="n">
        <v>2</v>
      </c>
      <c r="E252" s="3" t="s">
        <v>1238</v>
      </c>
      <c r="G252" s="3" t="s">
        <v>243</v>
      </c>
      <c r="H252" s="3" t="s">
        <v>1239</v>
      </c>
      <c r="I252" s="3" t="s">
        <v>1240</v>
      </c>
      <c r="J252" s="3" t="s">
        <v>1241</v>
      </c>
      <c r="K252" s="0" t="n">
        <v>0</v>
      </c>
      <c r="L252" s="0" t="n">
        <v>1000</v>
      </c>
      <c r="M252" s="0" t="n">
        <v>0</v>
      </c>
      <c r="N252" s="0" t="n">
        <v>1000</v>
      </c>
      <c r="O252" s="0" t="n">
        <v>0</v>
      </c>
      <c r="P252" s="0" t="n">
        <v>1000</v>
      </c>
    </row>
    <row r="253" customFormat="false" ht="15" hidden="false" customHeight="false" outlineLevel="0" collapsed="false">
      <c r="A253" s="3" t="s">
        <v>1242</v>
      </c>
      <c r="B253" s="3" t="s">
        <v>1243</v>
      </c>
      <c r="C253" s="3" t="s">
        <v>1244</v>
      </c>
      <c r="D253" s="7" t="n">
        <v>1</v>
      </c>
      <c r="G253" s="3" t="s">
        <v>139</v>
      </c>
      <c r="K253" s="0" t="n">
        <v>-1000</v>
      </c>
      <c r="L253" s="0" t="n">
        <v>1000</v>
      </c>
      <c r="M253" s="0" t="n">
        <v>-1000</v>
      </c>
      <c r="N253" s="0" t="n">
        <v>1000</v>
      </c>
      <c r="O253" s="0" t="n">
        <v>-1000</v>
      </c>
      <c r="P253" s="0" t="n">
        <v>1000</v>
      </c>
    </row>
    <row r="254" customFormat="false" ht="15" hidden="false" customHeight="false" outlineLevel="0" collapsed="false">
      <c r="A254" s="3" t="s">
        <v>1245</v>
      </c>
      <c r="B254" s="3" t="s">
        <v>1246</v>
      </c>
      <c r="C254" s="3" t="s">
        <v>1247</v>
      </c>
      <c r="D254" s="7" t="n">
        <v>2</v>
      </c>
      <c r="F254" s="15" t="s">
        <v>1248</v>
      </c>
      <c r="G254" s="3" t="s">
        <v>1249</v>
      </c>
      <c r="H254" s="3" t="s">
        <v>1250</v>
      </c>
      <c r="I254" s="3" t="s">
        <v>1251</v>
      </c>
      <c r="J254" s="3" t="s">
        <v>1252</v>
      </c>
      <c r="K254" s="0" t="n">
        <v>0</v>
      </c>
      <c r="L254" s="0" t="n">
        <v>1000</v>
      </c>
      <c r="M254" s="0" t="n">
        <v>0</v>
      </c>
      <c r="N254" s="0" t="n">
        <v>1000</v>
      </c>
      <c r="O254" s="0" t="n">
        <v>0</v>
      </c>
      <c r="P254" s="0" t="n">
        <v>1000</v>
      </c>
    </row>
    <row r="255" customFormat="false" ht="15" hidden="false" customHeight="false" outlineLevel="0" collapsed="false">
      <c r="A255" s="3" t="s">
        <v>1253</v>
      </c>
      <c r="B255" s="3" t="s">
        <v>1254</v>
      </c>
      <c r="C255" s="3" t="s">
        <v>1255</v>
      </c>
      <c r="D255" s="7" t="n">
        <v>2</v>
      </c>
      <c r="F255" s="7" t="n">
        <v>19077236</v>
      </c>
      <c r="G255" s="3" t="s">
        <v>143</v>
      </c>
      <c r="H255" s="3" t="s">
        <v>1256</v>
      </c>
      <c r="I255" s="3" t="s">
        <v>1257</v>
      </c>
      <c r="J255" s="3" t="s">
        <v>1258</v>
      </c>
      <c r="K255" s="0" t="n">
        <v>0</v>
      </c>
      <c r="L255" s="0" t="n">
        <v>1000</v>
      </c>
      <c r="M255" s="0" t="n">
        <v>0</v>
      </c>
      <c r="N255" s="0" t="n">
        <v>1000</v>
      </c>
      <c r="O255" s="0" t="n">
        <v>0</v>
      </c>
      <c r="P255" s="0" t="n">
        <v>1000</v>
      </c>
    </row>
    <row r="256" customFormat="false" ht="15" hidden="false" customHeight="false" outlineLevel="0" collapsed="false">
      <c r="A256" s="3" t="s">
        <v>1259</v>
      </c>
      <c r="B256" s="3" t="s">
        <v>1260</v>
      </c>
      <c r="C256" s="3" t="s">
        <v>1261</v>
      </c>
      <c r="D256" s="7" t="n">
        <v>2</v>
      </c>
      <c r="F256" s="15" t="s">
        <v>1248</v>
      </c>
      <c r="G256" s="3" t="s">
        <v>1249</v>
      </c>
      <c r="H256" s="3" t="s">
        <v>1262</v>
      </c>
      <c r="I256" s="3" t="s">
        <v>1263</v>
      </c>
      <c r="J256" s="3" t="s">
        <v>1264</v>
      </c>
      <c r="K256" s="0" t="n">
        <v>0</v>
      </c>
      <c r="L256" s="0" t="n">
        <v>1000</v>
      </c>
      <c r="M256" s="0" t="n">
        <v>0</v>
      </c>
      <c r="N256" s="0" t="n">
        <v>1000</v>
      </c>
      <c r="O256" s="0" t="n">
        <v>0</v>
      </c>
      <c r="P256" s="0" t="n">
        <v>1000</v>
      </c>
    </row>
    <row r="257" customFormat="false" ht="15" hidden="false" customHeight="false" outlineLevel="0" collapsed="false">
      <c r="A257" s="3" t="s">
        <v>1265</v>
      </c>
      <c r="B257" s="3" t="s">
        <v>1266</v>
      </c>
      <c r="C257" s="3" t="s">
        <v>1267</v>
      </c>
      <c r="D257" s="7" t="n">
        <v>2</v>
      </c>
      <c r="E257" s="3" t="s">
        <v>1268</v>
      </c>
      <c r="G257" s="3" t="s">
        <v>446</v>
      </c>
      <c r="H257" s="3" t="s">
        <v>1269</v>
      </c>
      <c r="I257" s="3" t="s">
        <v>1270</v>
      </c>
      <c r="J257" s="3" t="s">
        <v>1271</v>
      </c>
      <c r="K257" s="0" t="n">
        <v>0</v>
      </c>
      <c r="L257" s="0" t="n">
        <v>1000</v>
      </c>
      <c r="M257" s="0" t="n">
        <v>0</v>
      </c>
      <c r="N257" s="0" t="n">
        <v>1000</v>
      </c>
      <c r="O257" s="0" t="n">
        <v>0</v>
      </c>
      <c r="P257" s="0" t="n">
        <v>1000</v>
      </c>
    </row>
    <row r="258" customFormat="false" ht="15" hidden="false" customHeight="false" outlineLevel="0" collapsed="false">
      <c r="A258" s="3" t="s">
        <v>1272</v>
      </c>
      <c r="B258" s="3" t="s">
        <v>1273</v>
      </c>
      <c r="C258" s="3" t="s">
        <v>1274</v>
      </c>
      <c r="D258" s="7" t="n">
        <v>1</v>
      </c>
      <c r="E258" s="3" t="s">
        <v>1275</v>
      </c>
      <c r="G258" s="3" t="s">
        <v>1276</v>
      </c>
      <c r="K258" s="0" t="n">
        <v>0</v>
      </c>
      <c r="L258" s="0" t="n">
        <v>1000</v>
      </c>
      <c r="M258" s="0" t="n">
        <v>0</v>
      </c>
      <c r="N258" s="0" t="n">
        <v>1000</v>
      </c>
      <c r="O258" s="0" t="n">
        <v>0</v>
      </c>
      <c r="P258" s="0" t="n">
        <v>1000</v>
      </c>
    </row>
    <row r="259" customFormat="false" ht="15" hidden="false" customHeight="false" outlineLevel="0" collapsed="false">
      <c r="A259" s="3" t="s">
        <v>1277</v>
      </c>
      <c r="B259" s="3" t="s">
        <v>1278</v>
      </c>
      <c r="C259" s="3" t="s">
        <v>1279</v>
      </c>
      <c r="D259" s="7" t="n">
        <v>2</v>
      </c>
      <c r="E259" s="3" t="s">
        <v>1280</v>
      </c>
      <c r="G259" s="3" t="s">
        <v>1276</v>
      </c>
      <c r="K259" s="0" t="n">
        <v>0</v>
      </c>
      <c r="L259" s="0" t="n">
        <v>1000</v>
      </c>
      <c r="M259" s="0" t="n">
        <v>0</v>
      </c>
      <c r="N259" s="0" t="n">
        <v>1000</v>
      </c>
      <c r="O259" s="0" t="n">
        <v>0</v>
      </c>
      <c r="P259" s="0" t="n">
        <v>1000</v>
      </c>
    </row>
    <row r="260" customFormat="false" ht="15" hidden="false" customHeight="false" outlineLevel="0" collapsed="false">
      <c r="A260" s="3" t="s">
        <v>1281</v>
      </c>
      <c r="B260" s="3" t="s">
        <v>1282</v>
      </c>
      <c r="C260" s="3" t="s">
        <v>1283</v>
      </c>
      <c r="D260" s="7" t="n">
        <v>2</v>
      </c>
      <c r="E260" s="3" t="s">
        <v>1284</v>
      </c>
      <c r="F260" s="7" t="n">
        <v>19077236</v>
      </c>
      <c r="G260" s="3" t="s">
        <v>213</v>
      </c>
      <c r="H260" s="3" t="s">
        <v>1285</v>
      </c>
      <c r="I260" s="3" t="s">
        <v>1286</v>
      </c>
      <c r="J260" s="3" t="s">
        <v>1287</v>
      </c>
      <c r="K260" s="0" t="n">
        <v>-1000</v>
      </c>
      <c r="L260" s="0" t="n">
        <v>1000</v>
      </c>
      <c r="M260" s="0" t="n">
        <v>-1000</v>
      </c>
      <c r="N260" s="0" t="n">
        <v>1000</v>
      </c>
      <c r="O260" s="0" t="n">
        <v>-1000</v>
      </c>
      <c r="P260" s="0" t="n">
        <v>1000</v>
      </c>
    </row>
    <row r="261" customFormat="false" ht="15" hidden="false" customHeight="false" outlineLevel="0" collapsed="false">
      <c r="A261" s="3" t="s">
        <v>1288</v>
      </c>
      <c r="B261" s="3" t="s">
        <v>1289</v>
      </c>
      <c r="C261" s="3" t="s">
        <v>1290</v>
      </c>
      <c r="D261" s="7" t="n">
        <v>2</v>
      </c>
      <c r="E261" s="3" t="s">
        <v>1291</v>
      </c>
      <c r="G261" s="3" t="s">
        <v>1292</v>
      </c>
      <c r="H261" s="3" t="s">
        <v>1293</v>
      </c>
      <c r="I261" s="3" t="s">
        <v>1294</v>
      </c>
      <c r="J261" s="3" t="s">
        <v>1295</v>
      </c>
      <c r="K261" s="0" t="n">
        <v>0</v>
      </c>
      <c r="L261" s="0" t="n">
        <v>1000</v>
      </c>
      <c r="M261" s="0" t="n">
        <v>0</v>
      </c>
      <c r="N261" s="0" t="n">
        <v>1000</v>
      </c>
      <c r="O261" s="0" t="n">
        <v>0</v>
      </c>
      <c r="P261" s="0" t="n">
        <v>1000</v>
      </c>
    </row>
    <row r="262" customFormat="false" ht="15" hidden="false" customHeight="false" outlineLevel="0" collapsed="false">
      <c r="A262" s="3" t="s">
        <v>1296</v>
      </c>
      <c r="B262" s="3" t="s">
        <v>1297</v>
      </c>
      <c r="C262" s="3" t="s">
        <v>1298</v>
      </c>
      <c r="D262" s="7" t="n">
        <v>2</v>
      </c>
      <c r="E262" s="3" t="s">
        <v>1299</v>
      </c>
      <c r="G262" s="3" t="s">
        <v>1032</v>
      </c>
      <c r="H262" s="3" t="s">
        <v>1300</v>
      </c>
      <c r="I262" s="3" t="s">
        <v>1301</v>
      </c>
      <c r="J262" s="3" t="s">
        <v>1302</v>
      </c>
      <c r="K262" s="0" t="n">
        <v>0</v>
      </c>
      <c r="L262" s="0" t="n">
        <v>1000</v>
      </c>
      <c r="M262" s="0" t="n">
        <v>0</v>
      </c>
      <c r="N262" s="0" t="n">
        <v>1000</v>
      </c>
      <c r="O262" s="0" t="n">
        <v>0</v>
      </c>
      <c r="P262" s="0" t="n">
        <v>1000</v>
      </c>
    </row>
    <row r="263" customFormat="false" ht="15" hidden="false" customHeight="false" outlineLevel="0" collapsed="false">
      <c r="A263" s="3" t="s">
        <v>1303</v>
      </c>
      <c r="B263" s="3" t="s">
        <v>1304</v>
      </c>
      <c r="C263" s="3" t="s">
        <v>1305</v>
      </c>
      <c r="D263" s="7" t="n">
        <v>2</v>
      </c>
      <c r="E263" s="3" t="s">
        <v>1306</v>
      </c>
      <c r="G263" s="3" t="s">
        <v>1307</v>
      </c>
      <c r="H263" s="3" t="s">
        <v>1308</v>
      </c>
      <c r="I263" s="3" t="s">
        <v>1309</v>
      </c>
      <c r="J263" s="3" t="s">
        <v>1310</v>
      </c>
      <c r="K263" s="0" t="n">
        <v>-1000</v>
      </c>
      <c r="L263" s="0" t="n">
        <v>1000</v>
      </c>
      <c r="M263" s="0" t="n">
        <v>-1000</v>
      </c>
      <c r="N263" s="0" t="n">
        <v>1000</v>
      </c>
      <c r="O263" s="0" t="n">
        <v>-1000</v>
      </c>
      <c r="P263" s="0" t="n">
        <v>1000</v>
      </c>
    </row>
    <row r="264" customFormat="false" ht="15" hidden="false" customHeight="false" outlineLevel="0" collapsed="false">
      <c r="A264" s="3" t="s">
        <v>1311</v>
      </c>
      <c r="B264" s="3" t="s">
        <v>1312</v>
      </c>
      <c r="C264" s="3" t="s">
        <v>1313</v>
      </c>
      <c r="D264" s="7" t="n">
        <v>1</v>
      </c>
      <c r="E264" s="3" t="s">
        <v>1314</v>
      </c>
      <c r="G264" s="3" t="s">
        <v>1315</v>
      </c>
      <c r="K264" s="0" t="n">
        <v>0</v>
      </c>
      <c r="L264" s="0" t="n">
        <v>1000</v>
      </c>
      <c r="M264" s="0" t="n">
        <v>0</v>
      </c>
      <c r="N264" s="0" t="n">
        <v>1000</v>
      </c>
      <c r="O264" s="0" t="n">
        <v>0</v>
      </c>
      <c r="P264" s="0" t="n">
        <v>1000</v>
      </c>
    </row>
    <row r="265" customFormat="false" ht="15" hidden="false" customHeight="false" outlineLevel="0" collapsed="false">
      <c r="A265" s="3" t="s">
        <v>1316</v>
      </c>
      <c r="B265" s="3" t="s">
        <v>1317</v>
      </c>
      <c r="C265" s="3" t="s">
        <v>1318</v>
      </c>
      <c r="D265" s="7" t="n">
        <v>2</v>
      </c>
      <c r="E265" s="3" t="s">
        <v>1319</v>
      </c>
      <c r="G265" s="3" t="s">
        <v>1315</v>
      </c>
      <c r="H265" s="3" t="s">
        <v>1320</v>
      </c>
      <c r="I265" s="3" t="s">
        <v>1321</v>
      </c>
      <c r="J265" s="3" t="s">
        <v>1320</v>
      </c>
      <c r="K265" s="0" t="n">
        <v>0</v>
      </c>
      <c r="L265" s="0" t="n">
        <v>1000</v>
      </c>
      <c r="M265" s="0" t="n">
        <v>0</v>
      </c>
      <c r="N265" s="0" t="n">
        <v>1000</v>
      </c>
      <c r="O265" s="0" t="n">
        <v>0</v>
      </c>
      <c r="P265" s="0" t="n">
        <v>1000</v>
      </c>
    </row>
    <row r="266" customFormat="false" ht="15" hidden="false" customHeight="false" outlineLevel="0" collapsed="false">
      <c r="A266" s="3" t="s">
        <v>1322</v>
      </c>
      <c r="B266" s="3" t="s">
        <v>1323</v>
      </c>
      <c r="C266" s="3" t="s">
        <v>1324</v>
      </c>
      <c r="D266" s="7" t="n">
        <v>3</v>
      </c>
      <c r="E266" s="3" t="s">
        <v>1325</v>
      </c>
      <c r="G266" s="3" t="s">
        <v>391</v>
      </c>
      <c r="H266" s="3" t="s">
        <v>1326</v>
      </c>
      <c r="I266" s="3" t="s">
        <v>1327</v>
      </c>
      <c r="J266" s="3" t="s">
        <v>1328</v>
      </c>
      <c r="K266" s="0" t="n">
        <v>0</v>
      </c>
      <c r="L266" s="0" t="n">
        <v>1000</v>
      </c>
      <c r="M266" s="0" t="n">
        <v>0</v>
      </c>
      <c r="N266" s="0" t="n">
        <v>1000</v>
      </c>
      <c r="O266" s="0" t="n">
        <v>0</v>
      </c>
      <c r="P266" s="0" t="n">
        <v>1000</v>
      </c>
    </row>
    <row r="267" customFormat="false" ht="15" hidden="false" customHeight="false" outlineLevel="0" collapsed="false">
      <c r="A267" s="3" t="s">
        <v>1329</v>
      </c>
      <c r="B267" s="3" t="s">
        <v>1330</v>
      </c>
      <c r="C267" s="3" t="s">
        <v>1331</v>
      </c>
      <c r="D267" s="7" t="n">
        <v>1</v>
      </c>
      <c r="E267" s="3" t="s">
        <v>1332</v>
      </c>
      <c r="G267" s="3" t="s">
        <v>177</v>
      </c>
      <c r="K267" s="0" t="n">
        <v>0</v>
      </c>
      <c r="L267" s="0" t="n">
        <v>1000</v>
      </c>
      <c r="M267" s="0" t="n">
        <v>0</v>
      </c>
      <c r="N267" s="0" t="n">
        <v>1000</v>
      </c>
      <c r="O267" s="0" t="n">
        <v>0</v>
      </c>
      <c r="P267" s="0" t="n">
        <v>1000</v>
      </c>
    </row>
    <row r="268" customFormat="false" ht="15" hidden="false" customHeight="false" outlineLevel="0" collapsed="false">
      <c r="A268" s="3" t="s">
        <v>1333</v>
      </c>
      <c r="B268" s="3" t="s">
        <v>1334</v>
      </c>
      <c r="C268" s="3" t="s">
        <v>1335</v>
      </c>
      <c r="D268" s="7" t="n">
        <v>2</v>
      </c>
      <c r="E268" s="3" t="s">
        <v>1332</v>
      </c>
      <c r="G268" s="3" t="s">
        <v>177</v>
      </c>
      <c r="H268" s="3" t="s">
        <v>1336</v>
      </c>
      <c r="I268" s="3" t="s">
        <v>1337</v>
      </c>
      <c r="J268" s="3" t="s">
        <v>1338</v>
      </c>
      <c r="K268" s="0" t="n">
        <v>-1000</v>
      </c>
      <c r="L268" s="0" t="n">
        <v>1000</v>
      </c>
      <c r="M268" s="0" t="n">
        <v>-1000</v>
      </c>
      <c r="N268" s="0" t="n">
        <v>1000</v>
      </c>
      <c r="O268" s="0" t="n">
        <v>-1000</v>
      </c>
      <c r="P268" s="0" t="n">
        <v>1000</v>
      </c>
    </row>
    <row r="269" customFormat="false" ht="15" hidden="false" customHeight="false" outlineLevel="0" collapsed="false">
      <c r="A269" s="3" t="s">
        <v>1339</v>
      </c>
      <c r="B269" s="3" t="s">
        <v>1340</v>
      </c>
      <c r="C269" s="3" t="s">
        <v>1341</v>
      </c>
      <c r="D269" s="7" t="n">
        <v>2</v>
      </c>
      <c r="E269" s="3" t="s">
        <v>1342</v>
      </c>
      <c r="F269" s="7" t="n">
        <v>19077236</v>
      </c>
      <c r="G269" s="3" t="s">
        <v>874</v>
      </c>
      <c r="H269" s="3" t="s">
        <v>1343</v>
      </c>
      <c r="I269" s="3" t="s">
        <v>1344</v>
      </c>
      <c r="J269" s="3" t="s">
        <v>1345</v>
      </c>
      <c r="K269" s="0" t="n">
        <v>0</v>
      </c>
      <c r="L269" s="0" t="n">
        <v>1000</v>
      </c>
      <c r="M269" s="0" t="n">
        <v>0</v>
      </c>
      <c r="N269" s="0" t="n">
        <v>1000</v>
      </c>
      <c r="O269" s="0" t="n">
        <v>0</v>
      </c>
      <c r="P269" s="0" t="n">
        <v>1000</v>
      </c>
    </row>
    <row r="270" customFormat="false" ht="15" hidden="false" customHeight="false" outlineLevel="0" collapsed="false">
      <c r="A270" s="3" t="s">
        <v>1346</v>
      </c>
      <c r="B270" s="3" t="s">
        <v>1347</v>
      </c>
      <c r="C270" s="3" t="s">
        <v>1348</v>
      </c>
      <c r="D270" s="7" t="n">
        <v>2</v>
      </c>
      <c r="E270" s="3" t="s">
        <v>1349</v>
      </c>
      <c r="G270" s="3" t="s">
        <v>1292</v>
      </c>
      <c r="H270" s="3" t="s">
        <v>1350</v>
      </c>
      <c r="I270" s="3" t="s">
        <v>1351</v>
      </c>
      <c r="J270" s="3" t="s">
        <v>1352</v>
      </c>
      <c r="K270" s="0" t="n">
        <v>0</v>
      </c>
      <c r="L270" s="0" t="n">
        <v>1000</v>
      </c>
      <c r="M270" s="0" t="n">
        <v>0</v>
      </c>
      <c r="N270" s="0" t="n">
        <v>1000</v>
      </c>
      <c r="O270" s="0" t="n">
        <v>0</v>
      </c>
      <c r="P270" s="0" t="n">
        <v>1000</v>
      </c>
    </row>
    <row r="271" customFormat="false" ht="15" hidden="false" customHeight="false" outlineLevel="0" collapsed="false">
      <c r="A271" s="3" t="s">
        <v>1353</v>
      </c>
      <c r="C271" s="3" t="s">
        <v>1354</v>
      </c>
      <c r="D271" s="7" t="n">
        <v>1</v>
      </c>
      <c r="F271" s="7" t="n">
        <v>19077236</v>
      </c>
      <c r="G271" s="3" t="s">
        <v>386</v>
      </c>
      <c r="K271" s="0" t="n">
        <v>-1000</v>
      </c>
      <c r="L271" s="0" t="n">
        <v>1000</v>
      </c>
      <c r="M271" s="0" t="n">
        <v>-1000</v>
      </c>
      <c r="N271" s="0" t="n">
        <v>1000</v>
      </c>
      <c r="O271" s="0" t="n">
        <v>-1000</v>
      </c>
      <c r="P271" s="0" t="n">
        <v>1000</v>
      </c>
    </row>
    <row r="272" customFormat="false" ht="15" hidden="false" customHeight="false" outlineLevel="0" collapsed="false">
      <c r="A272" s="3" t="s">
        <v>1355</v>
      </c>
      <c r="B272" s="3" t="s">
        <v>1356</v>
      </c>
      <c r="C272" s="3" t="s">
        <v>1357</v>
      </c>
      <c r="D272" s="7" t="n">
        <v>2</v>
      </c>
      <c r="E272" s="3" t="s">
        <v>1358</v>
      </c>
      <c r="F272" s="7" t="n">
        <v>19077236</v>
      </c>
      <c r="G272" s="3" t="s">
        <v>1211</v>
      </c>
      <c r="H272" s="3" t="s">
        <v>1062</v>
      </c>
      <c r="I272" s="3" t="s">
        <v>1063</v>
      </c>
      <c r="J272" s="3" t="s">
        <v>1064</v>
      </c>
      <c r="K272" s="0" t="n">
        <v>0</v>
      </c>
      <c r="L272" s="0" t="n">
        <v>1000</v>
      </c>
      <c r="M272" s="0" t="n">
        <v>0</v>
      </c>
      <c r="N272" s="0" t="n">
        <v>1000</v>
      </c>
      <c r="O272" s="0" t="n">
        <v>0</v>
      </c>
      <c r="P272" s="0" t="n">
        <v>1000</v>
      </c>
    </row>
    <row r="273" customFormat="false" ht="15" hidden="false" customHeight="false" outlineLevel="0" collapsed="false">
      <c r="A273" s="3" t="s">
        <v>1359</v>
      </c>
      <c r="B273" s="3" t="s">
        <v>1360</v>
      </c>
      <c r="C273" s="3" t="s">
        <v>1361</v>
      </c>
      <c r="D273" s="7" t="n">
        <v>2</v>
      </c>
      <c r="E273" s="3" t="s">
        <v>1362</v>
      </c>
      <c r="F273" s="7" t="n">
        <v>19077236</v>
      </c>
      <c r="G273" s="3" t="s">
        <v>556</v>
      </c>
      <c r="H273" s="3" t="s">
        <v>1062</v>
      </c>
      <c r="I273" s="3" t="s">
        <v>1063</v>
      </c>
      <c r="J273" s="3" t="s">
        <v>1064</v>
      </c>
      <c r="K273" s="0" t="n">
        <v>0</v>
      </c>
      <c r="L273" s="0" t="n">
        <v>1000</v>
      </c>
      <c r="M273" s="0" t="n">
        <v>0</v>
      </c>
      <c r="N273" s="0" t="n">
        <v>1000</v>
      </c>
      <c r="O273" s="0" t="n">
        <v>0</v>
      </c>
      <c r="P273" s="0" t="n">
        <v>1000</v>
      </c>
    </row>
    <row r="274" customFormat="false" ht="15" hidden="false" customHeight="false" outlineLevel="0" collapsed="false">
      <c r="A274" s="3" t="s">
        <v>1363</v>
      </c>
      <c r="B274" s="3" t="s">
        <v>1364</v>
      </c>
      <c r="C274" s="3" t="s">
        <v>1365</v>
      </c>
      <c r="D274" s="7" t="n">
        <v>2</v>
      </c>
      <c r="E274" s="3" t="s">
        <v>1366</v>
      </c>
      <c r="G274" s="3" t="s">
        <v>308</v>
      </c>
      <c r="H274" s="3" t="s">
        <v>1367</v>
      </c>
      <c r="I274" s="3" t="s">
        <v>1368</v>
      </c>
      <c r="J274" s="3" t="s">
        <v>1369</v>
      </c>
      <c r="K274" s="0" t="n">
        <v>-1000</v>
      </c>
      <c r="L274" s="0" t="n">
        <v>1000</v>
      </c>
      <c r="M274" s="0" t="n">
        <v>-1000</v>
      </c>
      <c r="N274" s="0" t="n">
        <v>1000</v>
      </c>
      <c r="O274" s="0" t="n">
        <v>-1000</v>
      </c>
      <c r="P274" s="0" t="n">
        <v>1000</v>
      </c>
    </row>
    <row r="275" customFormat="false" ht="15" hidden="false" customHeight="false" outlineLevel="0" collapsed="false">
      <c r="A275" s="3" t="s">
        <v>1370</v>
      </c>
      <c r="B275" s="3" t="s">
        <v>1371</v>
      </c>
      <c r="C275" s="3" t="s">
        <v>1372</v>
      </c>
      <c r="D275" s="7" t="n">
        <v>2</v>
      </c>
      <c r="E275" s="3" t="s">
        <v>1373</v>
      </c>
      <c r="G275" s="3" t="s">
        <v>308</v>
      </c>
      <c r="H275" s="3" t="s">
        <v>1374</v>
      </c>
      <c r="I275" s="3" t="s">
        <v>1375</v>
      </c>
      <c r="J275" s="3" t="s">
        <v>1376</v>
      </c>
      <c r="K275" s="0" t="n">
        <v>0</v>
      </c>
      <c r="L275" s="0" t="n">
        <v>1000</v>
      </c>
      <c r="M275" s="0" t="n">
        <v>0</v>
      </c>
      <c r="N275" s="0" t="n">
        <v>1000</v>
      </c>
      <c r="O275" s="0" t="n">
        <v>0</v>
      </c>
      <c r="P275" s="0" t="n">
        <v>1000</v>
      </c>
    </row>
    <row r="276" customFormat="false" ht="15" hidden="false" customHeight="false" outlineLevel="0" collapsed="false">
      <c r="A276" s="3" t="s">
        <v>1377</v>
      </c>
      <c r="B276" s="3" t="s">
        <v>1378</v>
      </c>
      <c r="C276" s="3" t="s">
        <v>1379</v>
      </c>
      <c r="D276" s="7" t="n">
        <v>1</v>
      </c>
      <c r="E276" s="3" t="s">
        <v>1380</v>
      </c>
      <c r="G276" s="3" t="s">
        <v>1276</v>
      </c>
      <c r="K276" s="0" t="n">
        <v>0</v>
      </c>
      <c r="L276" s="0" t="n">
        <v>1000</v>
      </c>
      <c r="M276" s="0" t="n">
        <v>0</v>
      </c>
      <c r="N276" s="0" t="n">
        <v>1000</v>
      </c>
      <c r="O276" s="0" t="n">
        <v>0</v>
      </c>
      <c r="P276" s="0" t="n">
        <v>1000</v>
      </c>
    </row>
    <row r="277" customFormat="false" ht="15" hidden="false" customHeight="false" outlineLevel="0" collapsed="false">
      <c r="A277" s="3" t="s">
        <v>1381</v>
      </c>
      <c r="B277" s="3" t="s">
        <v>1382</v>
      </c>
      <c r="C277" s="3" t="s">
        <v>1383</v>
      </c>
      <c r="D277" s="7" t="n">
        <v>2</v>
      </c>
      <c r="E277" s="3" t="s">
        <v>1384</v>
      </c>
      <c r="G277" s="3" t="s">
        <v>1292</v>
      </c>
      <c r="H277" s="3" t="s">
        <v>1385</v>
      </c>
      <c r="I277" s="3" t="s">
        <v>1386</v>
      </c>
      <c r="J277" s="3" t="s">
        <v>1387</v>
      </c>
      <c r="K277" s="0" t="n">
        <v>-1000</v>
      </c>
      <c r="L277" s="0" t="n">
        <v>1000</v>
      </c>
      <c r="M277" s="0" t="n">
        <v>-1000</v>
      </c>
      <c r="N277" s="0" t="n">
        <v>1000</v>
      </c>
      <c r="O277" s="0" t="n">
        <v>-1000</v>
      </c>
      <c r="P277" s="0" t="n">
        <v>1000</v>
      </c>
    </row>
    <row r="278" customFormat="false" ht="15" hidden="false" customHeight="false" outlineLevel="0" collapsed="false">
      <c r="A278" s="3" t="s">
        <v>1388</v>
      </c>
      <c r="C278" s="3" t="s">
        <v>1389</v>
      </c>
      <c r="D278" s="7" t="n">
        <v>1</v>
      </c>
      <c r="E278" s="3" t="s">
        <v>1390</v>
      </c>
      <c r="G278" s="3" t="s">
        <v>1114</v>
      </c>
      <c r="K278" s="0" t="n">
        <v>0</v>
      </c>
      <c r="L278" s="0" t="n">
        <v>1000</v>
      </c>
      <c r="M278" s="0" t="n">
        <v>0</v>
      </c>
      <c r="N278" s="0" t="n">
        <v>1000</v>
      </c>
      <c r="O278" s="0" t="n">
        <v>0</v>
      </c>
      <c r="P278" s="0" t="n">
        <v>1000</v>
      </c>
    </row>
    <row r="279" customFormat="false" ht="15" hidden="false" customHeight="false" outlineLevel="0" collapsed="false">
      <c r="A279" s="3" t="s">
        <v>1391</v>
      </c>
      <c r="B279" s="3" t="s">
        <v>1392</v>
      </c>
      <c r="C279" s="3" t="s">
        <v>1393</v>
      </c>
      <c r="D279" s="7" t="n">
        <v>2</v>
      </c>
      <c r="E279" s="3" t="s">
        <v>1394</v>
      </c>
      <c r="G279" s="3" t="s">
        <v>1395</v>
      </c>
      <c r="H279" s="3" t="s">
        <v>1396</v>
      </c>
      <c r="I279" s="3" t="s">
        <v>1397</v>
      </c>
      <c r="J279" s="3" t="s">
        <v>1398</v>
      </c>
      <c r="K279" s="0" t="n">
        <v>-1000</v>
      </c>
      <c r="L279" s="0" t="n">
        <v>1000</v>
      </c>
      <c r="M279" s="0" t="n">
        <v>-1000</v>
      </c>
      <c r="N279" s="0" t="n">
        <v>1000</v>
      </c>
      <c r="O279" s="0" t="n">
        <v>-1000</v>
      </c>
      <c r="P279" s="0" t="n">
        <v>1000</v>
      </c>
    </row>
    <row r="280" customFormat="false" ht="15" hidden="false" customHeight="false" outlineLevel="0" collapsed="false">
      <c r="A280" s="3" t="s">
        <v>1399</v>
      </c>
      <c r="B280" s="3" t="s">
        <v>1400</v>
      </c>
      <c r="C280" s="3" t="s">
        <v>1401</v>
      </c>
      <c r="D280" s="7" t="n">
        <v>2</v>
      </c>
      <c r="E280" s="3" t="s">
        <v>1394</v>
      </c>
      <c r="G280" s="3" t="s">
        <v>1395</v>
      </c>
      <c r="H280" s="3" t="s">
        <v>1396</v>
      </c>
      <c r="I280" s="3" t="s">
        <v>1397</v>
      </c>
      <c r="J280" s="3" t="s">
        <v>1398</v>
      </c>
      <c r="K280" s="0" t="n">
        <v>0</v>
      </c>
      <c r="L280" s="0" t="n">
        <v>1000</v>
      </c>
      <c r="M280" s="0" t="n">
        <v>0</v>
      </c>
      <c r="N280" s="0" t="n">
        <v>1000</v>
      </c>
      <c r="O280" s="0" t="n">
        <v>0</v>
      </c>
      <c r="P280" s="0" t="n">
        <v>1000</v>
      </c>
    </row>
    <row r="281" customFormat="false" ht="15" hidden="false" customHeight="false" outlineLevel="0" collapsed="false">
      <c r="A281" s="3" t="s">
        <v>1402</v>
      </c>
      <c r="B281" s="3" t="s">
        <v>1403</v>
      </c>
      <c r="C281" s="3" t="s">
        <v>1404</v>
      </c>
      <c r="D281" s="7" t="n">
        <v>2</v>
      </c>
      <c r="E281" s="3" t="s">
        <v>1405</v>
      </c>
      <c r="G281" s="3" t="s">
        <v>251</v>
      </c>
      <c r="H281" s="3" t="s">
        <v>1406</v>
      </c>
      <c r="I281" s="3" t="s">
        <v>1407</v>
      </c>
      <c r="J281" s="3" t="s">
        <v>1408</v>
      </c>
      <c r="K281" s="0" t="n">
        <v>-1000</v>
      </c>
      <c r="L281" s="0" t="n">
        <v>1000</v>
      </c>
      <c r="M281" s="0" t="n">
        <v>-1000</v>
      </c>
      <c r="N281" s="0" t="n">
        <v>1000</v>
      </c>
      <c r="O281" s="0" t="n">
        <v>-1000</v>
      </c>
      <c r="P281" s="0" t="n">
        <v>1000</v>
      </c>
    </row>
    <row r="282" customFormat="false" ht="15" hidden="false" customHeight="false" outlineLevel="0" collapsed="false">
      <c r="A282" s="3" t="s">
        <v>1409</v>
      </c>
      <c r="B282" s="3" t="s">
        <v>1410</v>
      </c>
      <c r="C282" s="3" t="s">
        <v>1411</v>
      </c>
      <c r="D282" s="7" t="n">
        <v>2</v>
      </c>
      <c r="E282" s="3" t="s">
        <v>1412</v>
      </c>
      <c r="G282" s="3" t="s">
        <v>177</v>
      </c>
      <c r="H282" s="3" t="s">
        <v>185</v>
      </c>
      <c r="I282" s="3" t="s">
        <v>186</v>
      </c>
      <c r="J282" s="3" t="s">
        <v>187</v>
      </c>
      <c r="K282" s="0" t="n">
        <v>-1000</v>
      </c>
      <c r="L282" s="0" t="n">
        <v>1000</v>
      </c>
      <c r="M282" s="0" t="n">
        <v>-1000</v>
      </c>
      <c r="N282" s="0" t="n">
        <v>1000</v>
      </c>
      <c r="O282" s="0" t="n">
        <v>-1000</v>
      </c>
      <c r="P282" s="0" t="n">
        <v>1000</v>
      </c>
    </row>
    <row r="283" customFormat="false" ht="15" hidden="false" customHeight="false" outlineLevel="0" collapsed="false">
      <c r="A283" s="3" t="s">
        <v>1413</v>
      </c>
      <c r="B283" s="3" t="s">
        <v>1414</v>
      </c>
      <c r="C283" s="3" t="s">
        <v>1415</v>
      </c>
      <c r="D283" s="7" t="n">
        <v>2</v>
      </c>
      <c r="E283" s="3" t="s">
        <v>1416</v>
      </c>
      <c r="F283" s="7" t="n">
        <v>19077236</v>
      </c>
      <c r="G283" s="3" t="s">
        <v>1417</v>
      </c>
      <c r="H283" s="3" t="s">
        <v>1418</v>
      </c>
      <c r="I283" s="3" t="s">
        <v>1419</v>
      </c>
      <c r="J283" s="3" t="s">
        <v>1420</v>
      </c>
      <c r="K283" s="0" t="n">
        <v>0</v>
      </c>
      <c r="L283" s="0" t="n">
        <v>1000</v>
      </c>
      <c r="M283" s="0" t="n">
        <v>0</v>
      </c>
      <c r="N283" s="0" t="n">
        <v>1000</v>
      </c>
      <c r="O283" s="0" t="n">
        <v>0</v>
      </c>
      <c r="P283" s="0" t="n">
        <v>1000</v>
      </c>
    </row>
    <row r="284" customFormat="false" ht="15" hidden="false" customHeight="false" outlineLevel="0" collapsed="false">
      <c r="A284" s="3" t="s">
        <v>1421</v>
      </c>
      <c r="B284" s="3" t="s">
        <v>1422</v>
      </c>
      <c r="C284" s="3" t="s">
        <v>1423</v>
      </c>
      <c r="D284" s="7" t="n">
        <v>2</v>
      </c>
      <c r="E284" s="3" t="s">
        <v>1424</v>
      </c>
      <c r="G284" s="3" t="s">
        <v>1417</v>
      </c>
      <c r="H284" s="3" t="s">
        <v>1425</v>
      </c>
      <c r="I284" s="3" t="s">
        <v>1426</v>
      </c>
      <c r="J284" s="3" t="s">
        <v>1427</v>
      </c>
      <c r="K284" s="0" t="n">
        <v>-1000</v>
      </c>
      <c r="L284" s="0" t="n">
        <v>1000</v>
      </c>
      <c r="M284" s="0" t="n">
        <v>-1000</v>
      </c>
      <c r="N284" s="0" t="n">
        <v>1000</v>
      </c>
      <c r="O284" s="0" t="n">
        <v>-1000</v>
      </c>
      <c r="P284" s="0" t="n">
        <v>1000</v>
      </c>
    </row>
    <row r="285" customFormat="false" ht="15" hidden="false" customHeight="false" outlineLevel="0" collapsed="false">
      <c r="A285" s="3" t="s">
        <v>1428</v>
      </c>
      <c r="B285" s="3" t="s">
        <v>1429</v>
      </c>
      <c r="C285" s="3" t="s">
        <v>1430</v>
      </c>
      <c r="D285" s="7" t="n">
        <v>2</v>
      </c>
      <c r="E285" s="3" t="s">
        <v>1431</v>
      </c>
      <c r="F285" s="7" t="n">
        <v>19077236</v>
      </c>
      <c r="G285" s="3" t="s">
        <v>1417</v>
      </c>
      <c r="H285" s="3" t="s">
        <v>1432</v>
      </c>
      <c r="I285" s="3" t="s">
        <v>1433</v>
      </c>
      <c r="J285" s="3" t="s">
        <v>1434</v>
      </c>
      <c r="K285" s="0" t="n">
        <v>0</v>
      </c>
      <c r="L285" s="0" t="n">
        <v>1000</v>
      </c>
      <c r="M285" s="0" t="n">
        <v>0</v>
      </c>
      <c r="N285" s="0" t="n">
        <v>1000</v>
      </c>
      <c r="O285" s="0" t="n">
        <v>0</v>
      </c>
      <c r="P285" s="0" t="n">
        <v>1000</v>
      </c>
    </row>
    <row r="286" customFormat="false" ht="15" hidden="false" customHeight="false" outlineLevel="0" collapsed="false">
      <c r="A286" s="3" t="s">
        <v>1435</v>
      </c>
      <c r="B286" s="3" t="s">
        <v>1436</v>
      </c>
      <c r="C286" s="3" t="s">
        <v>1437</v>
      </c>
      <c r="D286" s="7" t="n">
        <v>2</v>
      </c>
      <c r="E286" s="3" t="s">
        <v>1416</v>
      </c>
      <c r="F286" s="7" t="n">
        <v>19077236</v>
      </c>
      <c r="G286" s="3" t="s">
        <v>1417</v>
      </c>
      <c r="H286" s="3" t="s">
        <v>1418</v>
      </c>
      <c r="I286" s="3" t="s">
        <v>1419</v>
      </c>
      <c r="J286" s="3" t="s">
        <v>1420</v>
      </c>
      <c r="K286" s="0" t="n">
        <v>0</v>
      </c>
      <c r="L286" s="0" t="n">
        <v>1000</v>
      </c>
      <c r="M286" s="0" t="n">
        <v>0</v>
      </c>
      <c r="N286" s="0" t="n">
        <v>1000</v>
      </c>
      <c r="O286" s="0" t="n">
        <v>0</v>
      </c>
      <c r="P286" s="0" t="n">
        <v>1000</v>
      </c>
    </row>
    <row r="287" customFormat="false" ht="15" hidden="false" customHeight="false" outlineLevel="0" collapsed="false">
      <c r="A287" s="3" t="s">
        <v>1438</v>
      </c>
      <c r="B287" s="3" t="s">
        <v>1439</v>
      </c>
      <c r="C287" s="3" t="s">
        <v>1440</v>
      </c>
      <c r="D287" s="7" t="n">
        <v>2</v>
      </c>
      <c r="E287" s="3" t="s">
        <v>1441</v>
      </c>
      <c r="F287" s="7" t="n">
        <v>19077236</v>
      </c>
      <c r="G287" s="3" t="s">
        <v>1417</v>
      </c>
      <c r="H287" s="3" t="s">
        <v>1442</v>
      </c>
      <c r="I287" s="3" t="s">
        <v>1443</v>
      </c>
      <c r="J287" s="3" t="s">
        <v>1444</v>
      </c>
      <c r="K287" s="0" t="n">
        <v>0</v>
      </c>
      <c r="L287" s="0" t="n">
        <v>1000</v>
      </c>
      <c r="M287" s="0" t="n">
        <v>0</v>
      </c>
      <c r="N287" s="0" t="n">
        <v>1000</v>
      </c>
      <c r="O287" s="0" t="n">
        <v>0</v>
      </c>
      <c r="P287" s="0" t="n">
        <v>1000</v>
      </c>
    </row>
    <row r="288" customFormat="false" ht="15" hidden="false" customHeight="false" outlineLevel="0" collapsed="false">
      <c r="A288" s="3" t="s">
        <v>1445</v>
      </c>
      <c r="B288" s="3" t="s">
        <v>1446</v>
      </c>
      <c r="C288" s="3" t="s">
        <v>1447</v>
      </c>
      <c r="D288" s="7" t="n">
        <v>4</v>
      </c>
      <c r="E288" s="3" t="s">
        <v>1448</v>
      </c>
      <c r="F288" s="7" t="n">
        <v>2886400</v>
      </c>
      <c r="G288" s="3" t="s">
        <v>1449</v>
      </c>
      <c r="H288" s="3" t="s">
        <v>1450</v>
      </c>
      <c r="I288" s="3" t="s">
        <v>1451</v>
      </c>
      <c r="J288" s="3" t="s">
        <v>1452</v>
      </c>
      <c r="K288" s="0" t="n">
        <v>0</v>
      </c>
      <c r="L288" s="0" t="n">
        <v>1000</v>
      </c>
      <c r="M288" s="0" t="n">
        <v>0</v>
      </c>
      <c r="N288" s="0" t="n">
        <v>1000</v>
      </c>
      <c r="O288" s="0" t="n">
        <v>0</v>
      </c>
      <c r="P288" s="0" t="n">
        <v>1000</v>
      </c>
    </row>
    <row r="289" customFormat="false" ht="15" hidden="false" customHeight="false" outlineLevel="0" collapsed="false">
      <c r="A289" s="3" t="s">
        <v>1453</v>
      </c>
      <c r="B289" s="3" t="s">
        <v>1454</v>
      </c>
      <c r="C289" s="3" t="s">
        <v>1455</v>
      </c>
      <c r="D289" s="7" t="n">
        <v>2</v>
      </c>
      <c r="E289" s="3" t="s">
        <v>1456</v>
      </c>
      <c r="G289" s="3" t="s">
        <v>177</v>
      </c>
      <c r="H289" s="3" t="s">
        <v>1457</v>
      </c>
      <c r="I289" s="3" t="s">
        <v>1458</v>
      </c>
      <c r="J289" s="3" t="s">
        <v>1459</v>
      </c>
      <c r="K289" s="0" t="n">
        <v>0</v>
      </c>
      <c r="L289" s="0" t="n">
        <v>1000</v>
      </c>
      <c r="M289" s="0" t="n">
        <v>0</v>
      </c>
      <c r="N289" s="0" t="n">
        <v>1000</v>
      </c>
      <c r="O289" s="0" t="n">
        <v>0</v>
      </c>
      <c r="P289" s="0" t="n">
        <v>1000</v>
      </c>
    </row>
    <row r="290" customFormat="false" ht="15" hidden="false" customHeight="false" outlineLevel="0" collapsed="false">
      <c r="A290" s="3" t="s">
        <v>1460</v>
      </c>
      <c r="B290" s="3" t="s">
        <v>1461</v>
      </c>
      <c r="C290" s="3" t="s">
        <v>1462</v>
      </c>
      <c r="D290" s="7" t="n">
        <v>2</v>
      </c>
      <c r="E290" s="3" t="s">
        <v>1463</v>
      </c>
      <c r="G290" s="3" t="s">
        <v>1464</v>
      </c>
      <c r="H290" s="3" t="s">
        <v>1465</v>
      </c>
      <c r="I290" s="3" t="s">
        <v>1466</v>
      </c>
      <c r="J290" s="3" t="s">
        <v>1467</v>
      </c>
      <c r="K290" s="0" t="n">
        <v>0</v>
      </c>
      <c r="L290" s="0" t="n">
        <v>1000</v>
      </c>
      <c r="M290" s="0" t="n">
        <v>0</v>
      </c>
      <c r="N290" s="0" t="n">
        <v>1000</v>
      </c>
      <c r="O290" s="0" t="n">
        <v>0</v>
      </c>
      <c r="P290" s="0" t="n">
        <v>1000</v>
      </c>
    </row>
    <row r="291" customFormat="false" ht="15" hidden="false" customHeight="false" outlineLevel="0" collapsed="false">
      <c r="A291" s="3" t="s">
        <v>1468</v>
      </c>
      <c r="B291" s="3" t="s">
        <v>1469</v>
      </c>
      <c r="C291" s="3" t="s">
        <v>1470</v>
      </c>
      <c r="D291" s="7" t="n">
        <v>2</v>
      </c>
      <c r="E291" s="3" t="s">
        <v>1471</v>
      </c>
      <c r="G291" s="3" t="s">
        <v>308</v>
      </c>
      <c r="H291" s="3" t="s">
        <v>1472</v>
      </c>
      <c r="I291" s="3" t="s">
        <v>1473</v>
      </c>
      <c r="J291" s="3" t="s">
        <v>1474</v>
      </c>
      <c r="K291" s="0" t="n">
        <v>0</v>
      </c>
      <c r="L291" s="0" t="n">
        <v>1000</v>
      </c>
      <c r="M291" s="0" t="n">
        <v>0</v>
      </c>
      <c r="N291" s="0" t="n">
        <v>1000</v>
      </c>
      <c r="O291" s="0" t="n">
        <v>0</v>
      </c>
      <c r="P291" s="0" t="n">
        <v>1000</v>
      </c>
    </row>
    <row r="292" customFormat="false" ht="15" hidden="false" customHeight="false" outlineLevel="0" collapsed="false">
      <c r="A292" s="3" t="s">
        <v>1475</v>
      </c>
      <c r="B292" s="3" t="s">
        <v>1476</v>
      </c>
      <c r="C292" s="3" t="s">
        <v>1477</v>
      </c>
      <c r="D292" s="7" t="n">
        <v>2</v>
      </c>
      <c r="E292" s="3" t="s">
        <v>1478</v>
      </c>
      <c r="G292" s="3" t="s">
        <v>1479</v>
      </c>
      <c r="H292" s="3" t="s">
        <v>1480</v>
      </c>
      <c r="I292" s="3" t="s">
        <v>1481</v>
      </c>
      <c r="J292" s="3" t="s">
        <v>1482</v>
      </c>
      <c r="K292" s="0" t="n">
        <v>-1000</v>
      </c>
      <c r="L292" s="0" t="n">
        <v>1000</v>
      </c>
      <c r="M292" s="0" t="n">
        <v>-1000</v>
      </c>
      <c r="N292" s="0" t="n">
        <v>1000</v>
      </c>
      <c r="O292" s="0" t="n">
        <v>-1000</v>
      </c>
      <c r="P292" s="0" t="n">
        <v>1000</v>
      </c>
    </row>
    <row r="293" customFormat="false" ht="15" hidden="false" customHeight="false" outlineLevel="0" collapsed="false">
      <c r="A293" s="3" t="s">
        <v>1483</v>
      </c>
      <c r="B293" s="3" t="s">
        <v>1484</v>
      </c>
      <c r="C293" s="3" t="s">
        <v>1485</v>
      </c>
      <c r="D293" s="7" t="n">
        <v>4</v>
      </c>
      <c r="E293" s="3" t="s">
        <v>1486</v>
      </c>
      <c r="F293" s="7" t="n">
        <v>16143852</v>
      </c>
      <c r="G293" s="3" t="s">
        <v>1449</v>
      </c>
      <c r="H293" s="3" t="s">
        <v>1487</v>
      </c>
      <c r="I293" s="3" t="s">
        <v>1488</v>
      </c>
      <c r="J293" s="3" t="s">
        <v>1489</v>
      </c>
      <c r="K293" s="0" t="n">
        <v>0</v>
      </c>
      <c r="L293" s="0" t="n">
        <v>1000</v>
      </c>
      <c r="M293" s="0" t="n">
        <v>0</v>
      </c>
      <c r="N293" s="0" t="n">
        <v>1000</v>
      </c>
      <c r="O293" s="0" t="n">
        <v>0</v>
      </c>
      <c r="P293" s="0" t="n">
        <v>1000</v>
      </c>
    </row>
    <row r="294" customFormat="false" ht="15" hidden="false" customHeight="false" outlineLevel="0" collapsed="false">
      <c r="A294" s="3" t="s">
        <v>1490</v>
      </c>
      <c r="B294" s="3" t="s">
        <v>1491</v>
      </c>
      <c r="C294" s="3" t="s">
        <v>1492</v>
      </c>
      <c r="D294" s="7" t="n">
        <v>2</v>
      </c>
      <c r="E294" s="3" t="s">
        <v>1493</v>
      </c>
      <c r="G294" s="3" t="s">
        <v>1307</v>
      </c>
      <c r="H294" s="3" t="s">
        <v>1494</v>
      </c>
      <c r="I294" s="3" t="s">
        <v>1495</v>
      </c>
      <c r="J294" s="3" t="s">
        <v>1496</v>
      </c>
      <c r="K294" s="0" t="n">
        <v>0</v>
      </c>
      <c r="L294" s="0" t="n">
        <v>1000</v>
      </c>
      <c r="M294" s="0" t="n">
        <v>0</v>
      </c>
      <c r="N294" s="0" t="n">
        <v>1000</v>
      </c>
      <c r="O294" s="0" t="n">
        <v>0</v>
      </c>
      <c r="P294" s="0" t="n">
        <v>1000</v>
      </c>
    </row>
    <row r="295" customFormat="false" ht="15" hidden="false" customHeight="false" outlineLevel="0" collapsed="false">
      <c r="A295" s="3" t="s">
        <v>1497</v>
      </c>
      <c r="B295" s="3" t="s">
        <v>1498</v>
      </c>
      <c r="C295" s="3" t="s">
        <v>1499</v>
      </c>
      <c r="D295" s="7" t="n">
        <v>2</v>
      </c>
      <c r="E295" s="3" t="s">
        <v>1500</v>
      </c>
      <c r="G295" s="3" t="s">
        <v>1307</v>
      </c>
      <c r="H295" s="3" t="s">
        <v>1501</v>
      </c>
      <c r="I295" s="3" t="s">
        <v>1502</v>
      </c>
      <c r="J295" s="3" t="s">
        <v>1503</v>
      </c>
      <c r="K295" s="0" t="n">
        <v>0</v>
      </c>
      <c r="L295" s="0" t="n">
        <v>1000</v>
      </c>
      <c r="M295" s="0" t="n">
        <v>0</v>
      </c>
      <c r="N295" s="0" t="n">
        <v>1000</v>
      </c>
      <c r="O295" s="0" t="n">
        <v>0</v>
      </c>
      <c r="P295" s="0" t="n">
        <v>1000</v>
      </c>
    </row>
    <row r="296" customFormat="false" ht="15" hidden="false" customHeight="false" outlineLevel="0" collapsed="false">
      <c r="A296" s="3" t="s">
        <v>1504</v>
      </c>
      <c r="B296" s="3" t="s">
        <v>1505</v>
      </c>
      <c r="C296" s="3" t="s">
        <v>1506</v>
      </c>
      <c r="D296" s="7" t="n">
        <v>1</v>
      </c>
      <c r="E296" s="3" t="s">
        <v>1507</v>
      </c>
      <c r="G296" s="3" t="s">
        <v>1508</v>
      </c>
      <c r="K296" s="0" t="n">
        <v>-1000</v>
      </c>
      <c r="L296" s="0" t="n">
        <v>1000</v>
      </c>
      <c r="M296" s="0" t="n">
        <v>-1000</v>
      </c>
      <c r="N296" s="0" t="n">
        <v>1000</v>
      </c>
      <c r="O296" s="0" t="n">
        <v>-1000</v>
      </c>
      <c r="P296" s="0" t="n">
        <v>1000</v>
      </c>
    </row>
    <row r="297" customFormat="false" ht="15" hidden="false" customHeight="false" outlineLevel="0" collapsed="false">
      <c r="A297" s="3" t="s">
        <v>1509</v>
      </c>
      <c r="B297" s="3" t="s">
        <v>1510</v>
      </c>
      <c r="C297" s="3" t="s">
        <v>1511</v>
      </c>
      <c r="D297" s="7" t="n">
        <v>2</v>
      </c>
      <c r="E297" s="3" t="s">
        <v>1512</v>
      </c>
      <c r="G297" s="3" t="s">
        <v>1513</v>
      </c>
      <c r="K297" s="0" t="n">
        <v>0</v>
      </c>
      <c r="L297" s="0" t="n">
        <v>1000</v>
      </c>
      <c r="M297" s="0" t="n">
        <v>0</v>
      </c>
      <c r="N297" s="0" t="n">
        <v>1000</v>
      </c>
      <c r="O297" s="0" t="n">
        <v>0</v>
      </c>
      <c r="P297" s="0" t="n">
        <v>1000</v>
      </c>
    </row>
    <row r="298" customFormat="false" ht="15" hidden="false" customHeight="false" outlineLevel="0" collapsed="false">
      <c r="A298" s="3" t="s">
        <v>1514</v>
      </c>
      <c r="B298" s="3" t="s">
        <v>1515</v>
      </c>
      <c r="C298" s="3" t="s">
        <v>1516</v>
      </c>
      <c r="D298" s="7" t="n">
        <v>2</v>
      </c>
      <c r="E298" s="3" t="s">
        <v>1517</v>
      </c>
      <c r="F298" s="7" t="n">
        <v>19077236</v>
      </c>
      <c r="G298" s="3" t="s">
        <v>1518</v>
      </c>
      <c r="H298" s="3" t="s">
        <v>1519</v>
      </c>
      <c r="I298" s="3" t="s">
        <v>1520</v>
      </c>
      <c r="J298" s="3" t="s">
        <v>1521</v>
      </c>
      <c r="K298" s="0" t="n">
        <v>-1000</v>
      </c>
      <c r="L298" s="0" t="n">
        <v>1000</v>
      </c>
      <c r="M298" s="0" t="n">
        <v>-1000</v>
      </c>
      <c r="N298" s="0" t="n">
        <v>1000</v>
      </c>
      <c r="O298" s="0" t="n">
        <v>-1000</v>
      </c>
      <c r="P298" s="0" t="n">
        <v>1000</v>
      </c>
    </row>
    <row r="299" customFormat="false" ht="15" hidden="false" customHeight="false" outlineLevel="0" collapsed="false">
      <c r="A299" s="3" t="s">
        <v>1522</v>
      </c>
      <c r="B299" s="3" t="s">
        <v>1523</v>
      </c>
      <c r="C299" s="3" t="s">
        <v>1524</v>
      </c>
      <c r="D299" s="7" t="n">
        <v>1</v>
      </c>
      <c r="E299" s="3" t="s">
        <v>1525</v>
      </c>
      <c r="G299" s="3" t="s">
        <v>1508</v>
      </c>
      <c r="K299" s="0" t="n">
        <v>-1000</v>
      </c>
      <c r="L299" s="0" t="n">
        <v>1000</v>
      </c>
      <c r="M299" s="0" t="n">
        <v>-1000</v>
      </c>
      <c r="N299" s="0" t="n">
        <v>1000</v>
      </c>
      <c r="O299" s="0" t="n">
        <v>-1000</v>
      </c>
      <c r="P299" s="0" t="n">
        <v>1000</v>
      </c>
    </row>
    <row r="300" customFormat="false" ht="15" hidden="false" customHeight="false" outlineLevel="0" collapsed="false">
      <c r="A300" s="3" t="s">
        <v>1526</v>
      </c>
      <c r="B300" s="3" t="s">
        <v>1527</v>
      </c>
      <c r="C300" s="3" t="s">
        <v>1528</v>
      </c>
      <c r="D300" s="7" t="n">
        <v>1</v>
      </c>
      <c r="E300" s="3" t="s">
        <v>1529</v>
      </c>
      <c r="G300" s="3" t="s">
        <v>391</v>
      </c>
      <c r="K300" s="0" t="n">
        <v>-1000</v>
      </c>
      <c r="L300" s="0" t="n">
        <v>1000</v>
      </c>
      <c r="M300" s="0" t="n">
        <v>-1000</v>
      </c>
      <c r="N300" s="0" t="n">
        <v>1000</v>
      </c>
      <c r="O300" s="0" t="n">
        <v>-1000</v>
      </c>
      <c r="P300" s="0" t="n">
        <v>1000</v>
      </c>
    </row>
    <row r="301" customFormat="false" ht="15" hidden="false" customHeight="false" outlineLevel="0" collapsed="false">
      <c r="A301" s="3" t="s">
        <v>1530</v>
      </c>
      <c r="B301" s="3" t="s">
        <v>1531</v>
      </c>
      <c r="C301" s="3" t="s">
        <v>1532</v>
      </c>
      <c r="D301" s="7" t="n">
        <v>2</v>
      </c>
      <c r="E301" s="3" t="s">
        <v>1533</v>
      </c>
      <c r="G301" s="3" t="s">
        <v>1292</v>
      </c>
      <c r="H301" s="3" t="s">
        <v>1534</v>
      </c>
      <c r="I301" s="3" t="s">
        <v>1535</v>
      </c>
      <c r="J301" s="3" t="s">
        <v>1536</v>
      </c>
      <c r="K301" s="0" t="n">
        <v>-1000</v>
      </c>
      <c r="L301" s="0" t="n">
        <v>1000</v>
      </c>
      <c r="M301" s="0" t="n">
        <v>-1000</v>
      </c>
      <c r="N301" s="0" t="n">
        <v>1000</v>
      </c>
      <c r="O301" s="0" t="n">
        <v>-1000</v>
      </c>
      <c r="P301" s="0" t="n">
        <v>1000</v>
      </c>
    </row>
    <row r="302" customFormat="false" ht="15" hidden="false" customHeight="false" outlineLevel="0" collapsed="false">
      <c r="A302" s="3" t="s">
        <v>1537</v>
      </c>
      <c r="B302" s="3" t="s">
        <v>1538</v>
      </c>
      <c r="C302" s="3" t="s">
        <v>1539</v>
      </c>
      <c r="D302" s="7" t="n">
        <v>2</v>
      </c>
      <c r="E302" s="3" t="s">
        <v>1540</v>
      </c>
      <c r="G302" s="3" t="s">
        <v>328</v>
      </c>
      <c r="H302" s="3" t="s">
        <v>1541</v>
      </c>
      <c r="I302" s="3" t="s">
        <v>1542</v>
      </c>
      <c r="J302" s="3" t="s">
        <v>1541</v>
      </c>
      <c r="K302" s="0" t="n">
        <v>0</v>
      </c>
      <c r="L302" s="0" t="n">
        <v>1000</v>
      </c>
      <c r="M302" s="0" t="n">
        <v>0</v>
      </c>
      <c r="N302" s="0" t="n">
        <v>1000</v>
      </c>
      <c r="O302" s="0" t="n">
        <v>0</v>
      </c>
      <c r="P302" s="0" t="n">
        <v>1000</v>
      </c>
    </row>
    <row r="303" customFormat="false" ht="15" hidden="false" customHeight="false" outlineLevel="0" collapsed="false">
      <c r="A303" s="3" t="s">
        <v>1543</v>
      </c>
      <c r="B303" s="3" t="s">
        <v>1544</v>
      </c>
      <c r="C303" s="3" t="s">
        <v>1545</v>
      </c>
      <c r="D303" s="7" t="n">
        <v>1</v>
      </c>
      <c r="E303" s="3" t="s">
        <v>1546</v>
      </c>
      <c r="G303" s="3" t="s">
        <v>328</v>
      </c>
      <c r="K303" s="0" t="n">
        <v>0</v>
      </c>
      <c r="L303" s="0" t="n">
        <v>1000</v>
      </c>
      <c r="M303" s="0" t="n">
        <v>0</v>
      </c>
      <c r="N303" s="0" t="n">
        <v>1000</v>
      </c>
      <c r="O303" s="0" t="n">
        <v>0</v>
      </c>
      <c r="P303" s="0" t="n">
        <v>1000</v>
      </c>
    </row>
    <row r="304" customFormat="false" ht="15" hidden="false" customHeight="false" outlineLevel="0" collapsed="false">
      <c r="A304" s="3" t="s">
        <v>1547</v>
      </c>
      <c r="B304" s="3" t="s">
        <v>1548</v>
      </c>
      <c r="C304" s="3" t="s">
        <v>1549</v>
      </c>
      <c r="D304" s="7" t="n">
        <v>2</v>
      </c>
      <c r="E304" s="3" t="s">
        <v>1550</v>
      </c>
      <c r="G304" s="3" t="s">
        <v>328</v>
      </c>
      <c r="H304" s="3" t="s">
        <v>1551</v>
      </c>
      <c r="I304" s="3" t="s">
        <v>1552</v>
      </c>
      <c r="J304" s="3" t="s">
        <v>1551</v>
      </c>
      <c r="K304" s="0" t="n">
        <v>0</v>
      </c>
      <c r="L304" s="0" t="n">
        <v>1000</v>
      </c>
      <c r="M304" s="0" t="n">
        <v>0</v>
      </c>
      <c r="N304" s="0" t="n">
        <v>1000</v>
      </c>
      <c r="O304" s="0" t="n">
        <v>0</v>
      </c>
      <c r="P304" s="0" t="n">
        <v>1000</v>
      </c>
    </row>
    <row r="305" customFormat="false" ht="15" hidden="false" customHeight="false" outlineLevel="0" collapsed="false">
      <c r="A305" s="3" t="s">
        <v>1553</v>
      </c>
      <c r="B305" s="3" t="s">
        <v>1554</v>
      </c>
      <c r="C305" s="3" t="s">
        <v>1555</v>
      </c>
      <c r="D305" s="7" t="n">
        <v>2</v>
      </c>
      <c r="E305" s="3" t="s">
        <v>1556</v>
      </c>
      <c r="G305" s="3" t="s">
        <v>308</v>
      </c>
      <c r="H305" s="3" t="s">
        <v>1557</v>
      </c>
      <c r="I305" s="3" t="s">
        <v>1558</v>
      </c>
      <c r="J305" s="3" t="s">
        <v>1559</v>
      </c>
      <c r="K305" s="0" t="n">
        <v>0</v>
      </c>
      <c r="L305" s="0" t="n">
        <v>1000</v>
      </c>
      <c r="M305" s="0" t="n">
        <v>0</v>
      </c>
      <c r="N305" s="0" t="n">
        <v>1000</v>
      </c>
      <c r="O305" s="0" t="n">
        <v>0</v>
      </c>
      <c r="P305" s="0" t="n">
        <v>1000</v>
      </c>
    </row>
    <row r="306" customFormat="false" ht="15" hidden="false" customHeight="false" outlineLevel="0" collapsed="false">
      <c r="A306" s="3" t="s">
        <v>1560</v>
      </c>
      <c r="B306" s="3" t="s">
        <v>1561</v>
      </c>
      <c r="C306" s="3" t="s">
        <v>1562</v>
      </c>
      <c r="D306" s="7" t="n">
        <v>2</v>
      </c>
      <c r="E306" s="3" t="s">
        <v>1563</v>
      </c>
      <c r="G306" s="3" t="s">
        <v>230</v>
      </c>
      <c r="H306" s="3" t="s">
        <v>1564</v>
      </c>
      <c r="I306" s="3" t="s">
        <v>1565</v>
      </c>
      <c r="J306" s="3" t="s">
        <v>1566</v>
      </c>
      <c r="K306" s="0" t="n">
        <v>0</v>
      </c>
      <c r="L306" s="0" t="n">
        <v>1000</v>
      </c>
      <c r="M306" s="0" t="n">
        <v>0</v>
      </c>
      <c r="N306" s="0" t="n">
        <v>1000</v>
      </c>
      <c r="O306" s="0" t="n">
        <v>0</v>
      </c>
      <c r="P306" s="0" t="n">
        <v>1000</v>
      </c>
    </row>
    <row r="307" customFormat="false" ht="15" hidden="false" customHeight="false" outlineLevel="0" collapsed="false">
      <c r="A307" s="3" t="s">
        <v>1567</v>
      </c>
      <c r="B307" s="3" t="s">
        <v>1568</v>
      </c>
      <c r="C307" s="3" t="s">
        <v>1569</v>
      </c>
      <c r="D307" s="7" t="n">
        <v>1</v>
      </c>
      <c r="E307" s="3" t="s">
        <v>1570</v>
      </c>
      <c r="G307" s="3" t="s">
        <v>251</v>
      </c>
      <c r="K307" s="0" t="n">
        <v>-1000</v>
      </c>
      <c r="L307" s="0" t="n">
        <v>1000</v>
      </c>
      <c r="M307" s="0" t="n">
        <v>-1000</v>
      </c>
      <c r="N307" s="0" t="n">
        <v>1000</v>
      </c>
      <c r="O307" s="0" t="n">
        <v>-1000</v>
      </c>
      <c r="P307" s="0" t="n">
        <v>1000</v>
      </c>
    </row>
    <row r="308" customFormat="false" ht="15" hidden="false" customHeight="false" outlineLevel="0" collapsed="false">
      <c r="A308" s="3" t="s">
        <v>1571</v>
      </c>
      <c r="B308" s="3" t="s">
        <v>1572</v>
      </c>
      <c r="C308" s="3" t="s">
        <v>1573</v>
      </c>
      <c r="D308" s="7" t="n">
        <v>2</v>
      </c>
      <c r="E308" s="3" t="s">
        <v>1574</v>
      </c>
      <c r="G308" s="3" t="s">
        <v>1464</v>
      </c>
      <c r="H308" s="3" t="s">
        <v>1575</v>
      </c>
      <c r="I308" s="3" t="s">
        <v>1576</v>
      </c>
      <c r="J308" s="3" t="s">
        <v>1577</v>
      </c>
      <c r="K308" s="0" t="n">
        <v>0</v>
      </c>
      <c r="L308" s="0" t="n">
        <v>1000</v>
      </c>
      <c r="M308" s="0" t="n">
        <v>0</v>
      </c>
      <c r="N308" s="0" t="n">
        <v>1000</v>
      </c>
      <c r="O308" s="0" t="n">
        <v>0</v>
      </c>
      <c r="P308" s="0" t="n">
        <v>1000</v>
      </c>
    </row>
    <row r="309" customFormat="false" ht="15" hidden="false" customHeight="false" outlineLevel="0" collapsed="false">
      <c r="A309" s="3" t="s">
        <v>1578</v>
      </c>
      <c r="B309" s="3" t="s">
        <v>1579</v>
      </c>
      <c r="C309" s="3" t="s">
        <v>1580</v>
      </c>
      <c r="D309" s="7" t="n">
        <v>2</v>
      </c>
      <c r="E309" s="3" t="s">
        <v>1581</v>
      </c>
      <c r="G309" s="3" t="s">
        <v>923</v>
      </c>
      <c r="H309" s="3" t="s">
        <v>1582</v>
      </c>
      <c r="I309" s="3" t="s">
        <v>1583</v>
      </c>
      <c r="J309" s="3" t="s">
        <v>1582</v>
      </c>
      <c r="K309" s="0" t="n">
        <v>0</v>
      </c>
      <c r="L309" s="0" t="n">
        <v>1000</v>
      </c>
      <c r="M309" s="0" t="n">
        <v>0</v>
      </c>
      <c r="N309" s="0" t="n">
        <v>1000</v>
      </c>
      <c r="O309" s="0" t="n">
        <v>0</v>
      </c>
      <c r="P309" s="0" t="n">
        <v>1000</v>
      </c>
    </row>
    <row r="310" customFormat="false" ht="15" hidden="false" customHeight="false" outlineLevel="0" collapsed="false">
      <c r="A310" s="3" t="s">
        <v>1584</v>
      </c>
      <c r="B310" s="3" t="s">
        <v>1585</v>
      </c>
      <c r="C310" s="3" t="s">
        <v>1586</v>
      </c>
      <c r="D310" s="7" t="n">
        <v>2</v>
      </c>
      <c r="E310" s="3" t="s">
        <v>1587</v>
      </c>
      <c r="G310" s="3" t="s">
        <v>446</v>
      </c>
      <c r="H310" s="3" t="s">
        <v>1588</v>
      </c>
      <c r="I310" s="3" t="s">
        <v>1589</v>
      </c>
      <c r="J310" s="3" t="s">
        <v>1590</v>
      </c>
      <c r="K310" s="0" t="n">
        <v>0</v>
      </c>
      <c r="L310" s="0" t="n">
        <v>1000</v>
      </c>
      <c r="M310" s="0" t="n">
        <v>0</v>
      </c>
      <c r="N310" s="0" t="n">
        <v>1000</v>
      </c>
      <c r="O310" s="0" t="n">
        <v>0</v>
      </c>
      <c r="P310" s="0" t="n">
        <v>1000</v>
      </c>
    </row>
    <row r="311" customFormat="false" ht="15" hidden="false" customHeight="false" outlineLevel="0" collapsed="false">
      <c r="A311" s="3" t="s">
        <v>1591</v>
      </c>
      <c r="B311" s="3" t="s">
        <v>1592</v>
      </c>
      <c r="C311" s="3" t="s">
        <v>1593</v>
      </c>
      <c r="D311" s="7" t="n">
        <v>2</v>
      </c>
      <c r="E311" s="3" t="s">
        <v>1594</v>
      </c>
      <c r="G311" s="3" t="s">
        <v>251</v>
      </c>
      <c r="H311" s="3" t="s">
        <v>1595</v>
      </c>
      <c r="I311" s="3" t="s">
        <v>1596</v>
      </c>
      <c r="J311" s="3" t="s">
        <v>1595</v>
      </c>
      <c r="K311" s="0" t="n">
        <v>0</v>
      </c>
      <c r="L311" s="0" t="n">
        <v>1000</v>
      </c>
      <c r="M311" s="0" t="n">
        <v>0</v>
      </c>
      <c r="N311" s="0" t="n">
        <v>1000</v>
      </c>
      <c r="O311" s="0" t="n">
        <v>0</v>
      </c>
      <c r="P311" s="0" t="n">
        <v>1000</v>
      </c>
    </row>
    <row r="312" customFormat="false" ht="15" hidden="false" customHeight="false" outlineLevel="0" collapsed="false">
      <c r="A312" s="3" t="s">
        <v>1597</v>
      </c>
      <c r="B312" s="3" t="s">
        <v>1598</v>
      </c>
      <c r="C312" s="3" t="s">
        <v>1599</v>
      </c>
      <c r="D312" s="7" t="n">
        <v>2</v>
      </c>
      <c r="E312" s="3" t="s">
        <v>1600</v>
      </c>
      <c r="G312" s="3" t="s">
        <v>251</v>
      </c>
      <c r="H312" s="3" t="s">
        <v>1601</v>
      </c>
      <c r="I312" s="3" t="s">
        <v>1602</v>
      </c>
      <c r="J312" s="3" t="s">
        <v>1601</v>
      </c>
      <c r="K312" s="0" t="n">
        <v>-1000</v>
      </c>
      <c r="L312" s="0" t="n">
        <v>1000</v>
      </c>
      <c r="M312" s="0" t="n">
        <v>-1000</v>
      </c>
      <c r="N312" s="0" t="n">
        <v>1000</v>
      </c>
      <c r="O312" s="0" t="n">
        <v>-1000</v>
      </c>
      <c r="P312" s="0" t="n">
        <v>1000</v>
      </c>
    </row>
    <row r="313" customFormat="false" ht="15" hidden="false" customHeight="false" outlineLevel="0" collapsed="false">
      <c r="A313" s="3" t="s">
        <v>1603</v>
      </c>
      <c r="B313" s="3" t="s">
        <v>1604</v>
      </c>
      <c r="C313" s="3" t="s">
        <v>1605</v>
      </c>
      <c r="D313" s="7" t="n">
        <v>1</v>
      </c>
      <c r="G313" s="3" t="s">
        <v>139</v>
      </c>
      <c r="K313" s="0" t="n">
        <v>-1000</v>
      </c>
      <c r="L313" s="0" t="n">
        <v>1000</v>
      </c>
      <c r="M313" s="0" t="n">
        <v>-1000</v>
      </c>
      <c r="N313" s="0" t="n">
        <v>1000</v>
      </c>
      <c r="O313" s="0" t="n">
        <v>-1000</v>
      </c>
      <c r="P313" s="0" t="n">
        <v>1000</v>
      </c>
    </row>
    <row r="314" customFormat="false" ht="15" hidden="false" customHeight="false" outlineLevel="0" collapsed="false">
      <c r="A314" s="3" t="s">
        <v>1606</v>
      </c>
      <c r="B314" s="3" t="s">
        <v>1607</v>
      </c>
      <c r="C314" s="3" t="s">
        <v>1608</v>
      </c>
      <c r="D314" s="7" t="n">
        <v>1</v>
      </c>
      <c r="G314" s="3" t="s">
        <v>143</v>
      </c>
      <c r="K314" s="0" t="n">
        <v>-1000</v>
      </c>
      <c r="L314" s="0" t="n">
        <v>1000</v>
      </c>
      <c r="M314" s="0" t="n">
        <v>-1000</v>
      </c>
      <c r="N314" s="0" t="n">
        <v>1000</v>
      </c>
      <c r="O314" s="0" t="n">
        <v>-1000</v>
      </c>
      <c r="P314" s="0" t="n">
        <v>1000</v>
      </c>
    </row>
    <row r="315" customFormat="false" ht="15" hidden="false" customHeight="false" outlineLevel="0" collapsed="false">
      <c r="A315" s="3" t="s">
        <v>1609</v>
      </c>
      <c r="B315" s="3" t="s">
        <v>1610</v>
      </c>
      <c r="C315" s="3" t="s">
        <v>1611</v>
      </c>
      <c r="D315" s="7" t="n">
        <v>1</v>
      </c>
      <c r="G315" s="3" t="s">
        <v>139</v>
      </c>
      <c r="K315" s="0" t="n">
        <v>-1000</v>
      </c>
      <c r="L315" s="0" t="n">
        <v>1000</v>
      </c>
      <c r="M315" s="0" t="n">
        <v>-1000</v>
      </c>
      <c r="N315" s="0" t="n">
        <v>1000</v>
      </c>
      <c r="O315" s="0" t="n">
        <v>-1000</v>
      </c>
      <c r="P315" s="0" t="n">
        <v>1000</v>
      </c>
    </row>
    <row r="316" customFormat="false" ht="15" hidden="false" customHeight="false" outlineLevel="0" collapsed="false">
      <c r="A316" s="3" t="s">
        <v>1612</v>
      </c>
      <c r="B316" s="3" t="s">
        <v>1613</v>
      </c>
      <c r="C316" s="3" t="s">
        <v>1614</v>
      </c>
      <c r="D316" s="7" t="n">
        <v>1</v>
      </c>
      <c r="G316" s="3" t="s">
        <v>143</v>
      </c>
      <c r="K316" s="0" t="n">
        <v>-1000</v>
      </c>
      <c r="L316" s="0" t="n">
        <v>1000</v>
      </c>
      <c r="M316" s="0" t="n">
        <v>-1000</v>
      </c>
      <c r="N316" s="0" t="n">
        <v>1000</v>
      </c>
      <c r="O316" s="0" t="n">
        <v>-1000</v>
      </c>
      <c r="P316" s="0" t="n">
        <v>1000</v>
      </c>
    </row>
    <row r="317" customFormat="false" ht="15" hidden="false" customHeight="false" outlineLevel="0" collapsed="false">
      <c r="A317" s="3" t="s">
        <v>1615</v>
      </c>
      <c r="B317" s="3" t="s">
        <v>1616</v>
      </c>
      <c r="C317" s="3" t="s">
        <v>1617</v>
      </c>
      <c r="D317" s="7" t="n">
        <v>1</v>
      </c>
      <c r="G317" s="3" t="s">
        <v>139</v>
      </c>
      <c r="K317" s="0" t="n">
        <v>-1000</v>
      </c>
      <c r="L317" s="0" t="n">
        <v>1000</v>
      </c>
      <c r="M317" s="0" t="n">
        <v>-1000</v>
      </c>
      <c r="N317" s="0" t="n">
        <v>1000</v>
      </c>
      <c r="O317" s="0" t="n">
        <v>-1000</v>
      </c>
      <c r="P317" s="0" t="n">
        <v>1000</v>
      </c>
    </row>
    <row r="318" customFormat="false" ht="15" hidden="false" customHeight="false" outlineLevel="0" collapsed="false">
      <c r="A318" s="3" t="s">
        <v>1618</v>
      </c>
      <c r="B318" s="3" t="s">
        <v>1619</v>
      </c>
      <c r="C318" s="3" t="s">
        <v>1620</v>
      </c>
      <c r="D318" s="7" t="n">
        <v>1</v>
      </c>
      <c r="G318" s="3" t="s">
        <v>143</v>
      </c>
      <c r="K318" s="0" t="n">
        <v>-1000</v>
      </c>
      <c r="L318" s="0" t="n">
        <v>1000</v>
      </c>
      <c r="M318" s="0" t="n">
        <v>-1000</v>
      </c>
      <c r="N318" s="0" t="n">
        <v>1000</v>
      </c>
      <c r="O318" s="0" t="n">
        <v>-1000</v>
      </c>
      <c r="P318" s="0" t="n">
        <v>1000</v>
      </c>
    </row>
    <row r="319" customFormat="false" ht="15" hidden="false" customHeight="false" outlineLevel="0" collapsed="false">
      <c r="A319" s="3" t="s">
        <v>1621</v>
      </c>
      <c r="B319" s="3" t="s">
        <v>1622</v>
      </c>
      <c r="C319" s="3" t="s">
        <v>1623</v>
      </c>
      <c r="D319" s="7" t="n">
        <v>2</v>
      </c>
      <c r="E319" s="3" t="s">
        <v>1624</v>
      </c>
      <c r="G319" s="3" t="s">
        <v>287</v>
      </c>
      <c r="H319" s="3" t="s">
        <v>1625</v>
      </c>
      <c r="I319" s="3" t="s">
        <v>1626</v>
      </c>
      <c r="J319" s="3" t="s">
        <v>1627</v>
      </c>
      <c r="K319" s="0" t="n">
        <v>-1000</v>
      </c>
      <c r="L319" s="0" t="n">
        <v>1000</v>
      </c>
      <c r="M319" s="0" t="n">
        <v>-1000</v>
      </c>
      <c r="N319" s="0" t="n">
        <v>1000</v>
      </c>
      <c r="O319" s="0" t="n">
        <v>-1000</v>
      </c>
      <c r="P319" s="0" t="n">
        <v>1000</v>
      </c>
    </row>
    <row r="320" customFormat="false" ht="15" hidden="false" customHeight="false" outlineLevel="0" collapsed="false">
      <c r="A320" s="3" t="s">
        <v>1628</v>
      </c>
      <c r="B320" s="3" t="s">
        <v>1629</v>
      </c>
      <c r="C320" s="3" t="s">
        <v>1630</v>
      </c>
      <c r="D320" s="7" t="n">
        <v>2</v>
      </c>
      <c r="E320" s="3" t="s">
        <v>1631</v>
      </c>
      <c r="G320" s="3" t="s">
        <v>1047</v>
      </c>
      <c r="H320" s="3" t="s">
        <v>1632</v>
      </c>
      <c r="I320" s="3" t="s">
        <v>1633</v>
      </c>
      <c r="J320" s="3" t="s">
        <v>1634</v>
      </c>
      <c r="K320" s="0" t="n">
        <v>-1000</v>
      </c>
      <c r="L320" s="0" t="n">
        <v>1000</v>
      </c>
      <c r="M320" s="0" t="n">
        <v>-1000</v>
      </c>
      <c r="N320" s="0" t="n">
        <v>1000</v>
      </c>
      <c r="O320" s="0" t="n">
        <v>-1000</v>
      </c>
      <c r="P320" s="0" t="n">
        <v>1000</v>
      </c>
    </row>
    <row r="321" customFormat="false" ht="15" hidden="false" customHeight="false" outlineLevel="0" collapsed="false">
      <c r="A321" s="3" t="s">
        <v>1635</v>
      </c>
      <c r="B321" s="3" t="s">
        <v>1636</v>
      </c>
      <c r="C321" s="3" t="s">
        <v>1637</v>
      </c>
      <c r="D321" s="7" t="n">
        <v>2</v>
      </c>
      <c r="E321" s="3" t="s">
        <v>1638</v>
      </c>
      <c r="F321" s="7" t="n">
        <v>19077236</v>
      </c>
      <c r="G321" s="3" t="s">
        <v>1639</v>
      </c>
      <c r="H321" s="3" t="s">
        <v>1640</v>
      </c>
      <c r="I321" s="3" t="s">
        <v>1641</v>
      </c>
      <c r="J321" s="3" t="s">
        <v>1640</v>
      </c>
      <c r="K321" s="0" t="n">
        <v>-1000</v>
      </c>
      <c r="L321" s="0" t="n">
        <v>1000</v>
      </c>
      <c r="M321" s="0" t="n">
        <v>-1000</v>
      </c>
      <c r="N321" s="0" t="n">
        <v>1000</v>
      </c>
      <c r="O321" s="0" t="n">
        <v>-1000</v>
      </c>
      <c r="P321" s="0" t="n">
        <v>1000</v>
      </c>
    </row>
    <row r="322" customFormat="false" ht="15" hidden="false" customHeight="false" outlineLevel="0" collapsed="false">
      <c r="A322" s="3" t="s">
        <v>1642</v>
      </c>
      <c r="B322" s="3" t="s">
        <v>1643</v>
      </c>
      <c r="C322" s="3" t="s">
        <v>1644</v>
      </c>
      <c r="D322" s="7" t="n">
        <v>1</v>
      </c>
      <c r="G322" s="3" t="s">
        <v>139</v>
      </c>
      <c r="K322" s="0" t="n">
        <v>-1000</v>
      </c>
      <c r="L322" s="0" t="n">
        <v>1000</v>
      </c>
      <c r="M322" s="0" t="n">
        <v>-1000</v>
      </c>
      <c r="N322" s="0" t="n">
        <v>1000</v>
      </c>
      <c r="O322" s="0" t="n">
        <v>-1000</v>
      </c>
      <c r="P322" s="0" t="n">
        <v>1000</v>
      </c>
    </row>
    <row r="323" customFormat="false" ht="15" hidden="false" customHeight="false" outlineLevel="0" collapsed="false">
      <c r="A323" s="3" t="s">
        <v>1645</v>
      </c>
      <c r="B323" s="3" t="s">
        <v>1646</v>
      </c>
      <c r="C323" s="3" t="s">
        <v>1647</v>
      </c>
      <c r="D323" s="7" t="n">
        <v>1</v>
      </c>
      <c r="G323" s="3" t="s">
        <v>143</v>
      </c>
      <c r="K323" s="0" t="n">
        <v>-1000</v>
      </c>
      <c r="L323" s="0" t="n">
        <v>1000</v>
      </c>
      <c r="M323" s="0" t="n">
        <v>-1000</v>
      </c>
      <c r="N323" s="0" t="n">
        <v>1000</v>
      </c>
      <c r="O323" s="0" t="n">
        <v>-1000</v>
      </c>
      <c r="P323" s="0" t="n">
        <v>1000</v>
      </c>
    </row>
    <row r="324" customFormat="false" ht="15" hidden="false" customHeight="false" outlineLevel="0" collapsed="false">
      <c r="A324" s="3" t="s">
        <v>1648</v>
      </c>
      <c r="B324" s="3" t="s">
        <v>1649</v>
      </c>
      <c r="C324" s="3" t="s">
        <v>1650</v>
      </c>
      <c r="D324" s="7" t="n">
        <v>2</v>
      </c>
      <c r="E324" s="3" t="s">
        <v>1651</v>
      </c>
      <c r="G324" s="3" t="s">
        <v>287</v>
      </c>
      <c r="H324" s="3" t="s">
        <v>1652</v>
      </c>
      <c r="I324" s="3" t="s">
        <v>1653</v>
      </c>
      <c r="J324" s="3" t="s">
        <v>1654</v>
      </c>
      <c r="K324" s="0" t="n">
        <v>-1000</v>
      </c>
      <c r="L324" s="0" t="n">
        <v>1000</v>
      </c>
      <c r="M324" s="0" t="n">
        <v>-1000</v>
      </c>
      <c r="N324" s="0" t="n">
        <v>1000</v>
      </c>
      <c r="O324" s="0" t="n">
        <v>-1000</v>
      </c>
      <c r="P324" s="0" t="n">
        <v>1000</v>
      </c>
    </row>
    <row r="325" customFormat="false" ht="15" hidden="false" customHeight="false" outlineLevel="0" collapsed="false">
      <c r="A325" s="3" t="s">
        <v>1655</v>
      </c>
      <c r="B325" s="3" t="s">
        <v>1656</v>
      </c>
      <c r="C325" s="3" t="s">
        <v>1657</v>
      </c>
      <c r="D325" s="7" t="n">
        <v>2</v>
      </c>
      <c r="E325" s="3" t="s">
        <v>1658</v>
      </c>
      <c r="G325" s="3" t="s">
        <v>405</v>
      </c>
      <c r="H325" s="3" t="s">
        <v>1659</v>
      </c>
      <c r="I325" s="3" t="s">
        <v>1660</v>
      </c>
      <c r="J325" s="3" t="s">
        <v>1661</v>
      </c>
      <c r="K325" s="0" t="n">
        <v>-1000</v>
      </c>
      <c r="L325" s="0" t="n">
        <v>1000</v>
      </c>
      <c r="M325" s="0" t="n">
        <v>-1000</v>
      </c>
      <c r="N325" s="0" t="n">
        <v>1000</v>
      </c>
      <c r="O325" s="0" t="n">
        <v>-1000</v>
      </c>
      <c r="P325" s="0" t="n">
        <v>1000</v>
      </c>
    </row>
    <row r="326" customFormat="false" ht="15" hidden="false" customHeight="false" outlineLevel="0" collapsed="false">
      <c r="A326" s="3" t="s">
        <v>1662</v>
      </c>
      <c r="B326" s="3" t="s">
        <v>1663</v>
      </c>
      <c r="C326" s="3" t="s">
        <v>1664</v>
      </c>
      <c r="D326" s="7" t="n">
        <v>2</v>
      </c>
      <c r="E326" s="3" t="s">
        <v>1665</v>
      </c>
      <c r="G326" s="3" t="s">
        <v>537</v>
      </c>
      <c r="H326" s="3" t="s">
        <v>1666</v>
      </c>
      <c r="I326" s="3" t="s">
        <v>1667</v>
      </c>
      <c r="J326" s="3" t="s">
        <v>1668</v>
      </c>
      <c r="K326" s="0" t="n">
        <v>-1000</v>
      </c>
      <c r="L326" s="0" t="n">
        <v>1000</v>
      </c>
      <c r="M326" s="0" t="n">
        <v>-1000</v>
      </c>
      <c r="N326" s="0" t="n">
        <v>1000</v>
      </c>
      <c r="O326" s="0" t="n">
        <v>-1000</v>
      </c>
      <c r="P326" s="0" t="n">
        <v>1000</v>
      </c>
    </row>
    <row r="327" customFormat="false" ht="15" hidden="false" customHeight="false" outlineLevel="0" collapsed="false">
      <c r="A327" s="3" t="s">
        <v>1669</v>
      </c>
      <c r="B327" s="3" t="s">
        <v>1670</v>
      </c>
      <c r="C327" s="3" t="s">
        <v>1671</v>
      </c>
      <c r="D327" s="7" t="n">
        <v>2</v>
      </c>
      <c r="E327" s="3" t="s">
        <v>1665</v>
      </c>
      <c r="G327" s="3" t="s">
        <v>537</v>
      </c>
      <c r="H327" s="3" t="s">
        <v>1666</v>
      </c>
      <c r="I327" s="3" t="s">
        <v>1667</v>
      </c>
      <c r="J327" s="3" t="s">
        <v>1668</v>
      </c>
      <c r="K327" s="0" t="n">
        <v>0</v>
      </c>
      <c r="L327" s="0" t="n">
        <v>1000</v>
      </c>
      <c r="M327" s="0" t="n">
        <v>0</v>
      </c>
      <c r="N327" s="0" t="n">
        <v>1000</v>
      </c>
      <c r="O327" s="0" t="n">
        <v>0</v>
      </c>
      <c r="P327" s="0" t="n">
        <v>1000</v>
      </c>
    </row>
    <row r="328" customFormat="false" ht="15" hidden="false" customHeight="false" outlineLevel="0" collapsed="false">
      <c r="A328" s="3" t="s">
        <v>1672</v>
      </c>
      <c r="B328" s="3" t="s">
        <v>1673</v>
      </c>
      <c r="C328" s="3" t="s">
        <v>1674</v>
      </c>
      <c r="D328" s="7" t="n">
        <v>2</v>
      </c>
      <c r="E328" s="3" t="s">
        <v>1675</v>
      </c>
      <c r="G328" s="3" t="s">
        <v>537</v>
      </c>
      <c r="H328" s="3" t="s">
        <v>1676</v>
      </c>
      <c r="I328" s="3" t="s">
        <v>1677</v>
      </c>
      <c r="J328" s="3" t="s">
        <v>1678</v>
      </c>
      <c r="K328" s="0" t="n">
        <v>0</v>
      </c>
      <c r="L328" s="0" t="n">
        <v>1000</v>
      </c>
      <c r="M328" s="0" t="n">
        <v>0</v>
      </c>
      <c r="N328" s="0" t="n">
        <v>1000</v>
      </c>
      <c r="O328" s="0" t="n">
        <v>0</v>
      </c>
      <c r="P328" s="0" t="n">
        <v>1000</v>
      </c>
    </row>
    <row r="329" customFormat="false" ht="15" hidden="false" customHeight="false" outlineLevel="0" collapsed="false">
      <c r="A329" s="3" t="s">
        <v>1679</v>
      </c>
      <c r="B329" s="3" t="s">
        <v>1680</v>
      </c>
      <c r="C329" s="3" t="s">
        <v>1681</v>
      </c>
      <c r="D329" s="7" t="n">
        <v>3</v>
      </c>
      <c r="F329" s="7" t="n">
        <v>15044494</v>
      </c>
      <c r="G329" s="3" t="s">
        <v>1682</v>
      </c>
      <c r="K329" s="0" t="n">
        <v>0</v>
      </c>
      <c r="L329" s="0" t="n">
        <v>1000</v>
      </c>
      <c r="M329" s="0" t="n">
        <v>0</v>
      </c>
      <c r="N329" s="0" t="n">
        <v>1000</v>
      </c>
      <c r="O329" s="0" t="n">
        <v>0</v>
      </c>
      <c r="P329" s="0" t="n">
        <v>1000</v>
      </c>
    </row>
    <row r="330" customFormat="false" ht="15" hidden="false" customHeight="false" outlineLevel="0" collapsed="false">
      <c r="A330" s="3" t="s">
        <v>1683</v>
      </c>
      <c r="B330" s="3" t="s">
        <v>1684</v>
      </c>
      <c r="C330" s="3" t="s">
        <v>1685</v>
      </c>
      <c r="D330" s="7" t="n">
        <v>2</v>
      </c>
      <c r="E330" s="3" t="s">
        <v>1686</v>
      </c>
      <c r="G330" s="3" t="s">
        <v>287</v>
      </c>
      <c r="H330" s="3" t="s">
        <v>1687</v>
      </c>
      <c r="I330" s="3" t="s">
        <v>1688</v>
      </c>
      <c r="J330" s="3" t="s">
        <v>1687</v>
      </c>
      <c r="K330" s="0" t="n">
        <v>0</v>
      </c>
      <c r="L330" s="0" t="n">
        <v>1000</v>
      </c>
      <c r="M330" s="0" t="n">
        <v>0</v>
      </c>
      <c r="N330" s="0" t="n">
        <v>1000</v>
      </c>
      <c r="O330" s="0" t="n">
        <v>0</v>
      </c>
      <c r="P330" s="0" t="n">
        <v>1000</v>
      </c>
    </row>
    <row r="331" customFormat="false" ht="15" hidden="false" customHeight="false" outlineLevel="0" collapsed="false">
      <c r="A331" s="3" t="s">
        <v>1689</v>
      </c>
      <c r="B331" s="3" t="s">
        <v>1690</v>
      </c>
      <c r="C331" s="3" t="s">
        <v>1691</v>
      </c>
      <c r="D331" s="7" t="n">
        <v>2</v>
      </c>
      <c r="E331" s="3" t="s">
        <v>1692</v>
      </c>
      <c r="G331" s="3" t="s">
        <v>1012</v>
      </c>
      <c r="H331" s="3" t="s">
        <v>1693</v>
      </c>
      <c r="I331" s="3" t="s">
        <v>1694</v>
      </c>
      <c r="J331" s="3" t="s">
        <v>1695</v>
      </c>
      <c r="K331" s="0" t="n">
        <v>-1000</v>
      </c>
      <c r="L331" s="0" t="n">
        <v>1000</v>
      </c>
      <c r="M331" s="0" t="n">
        <v>-1000</v>
      </c>
      <c r="N331" s="0" t="n">
        <v>1000</v>
      </c>
      <c r="O331" s="0" t="n">
        <v>-1000</v>
      </c>
      <c r="P331" s="0" t="n">
        <v>1000</v>
      </c>
    </row>
    <row r="332" customFormat="false" ht="15" hidden="false" customHeight="false" outlineLevel="0" collapsed="false">
      <c r="A332" s="3" t="s">
        <v>1696</v>
      </c>
      <c r="B332" s="3" t="s">
        <v>1697</v>
      </c>
      <c r="C332" s="3" t="s">
        <v>1698</v>
      </c>
      <c r="D332" s="7" t="n">
        <v>2</v>
      </c>
      <c r="E332" s="3" t="s">
        <v>1699</v>
      </c>
      <c r="G332" s="3" t="s">
        <v>405</v>
      </c>
      <c r="H332" s="3" t="s">
        <v>1700</v>
      </c>
      <c r="I332" s="3" t="s">
        <v>1701</v>
      </c>
      <c r="J332" s="3" t="s">
        <v>1700</v>
      </c>
      <c r="K332" s="0" t="n">
        <v>-1000</v>
      </c>
      <c r="L332" s="0" t="n">
        <v>1000</v>
      </c>
      <c r="M332" s="0" t="n">
        <v>-1000</v>
      </c>
      <c r="N332" s="0" t="n">
        <v>1000</v>
      </c>
      <c r="O332" s="0" t="n">
        <v>-1000</v>
      </c>
      <c r="P332" s="0" t="n">
        <v>1000</v>
      </c>
    </row>
    <row r="333" customFormat="false" ht="15" hidden="false" customHeight="false" outlineLevel="0" collapsed="false">
      <c r="A333" s="3" t="s">
        <v>1702</v>
      </c>
      <c r="B333" s="3" t="s">
        <v>1703</v>
      </c>
      <c r="C333" s="3" t="s">
        <v>1704</v>
      </c>
      <c r="D333" s="7" t="n">
        <v>2</v>
      </c>
      <c r="E333" s="3" t="s">
        <v>1705</v>
      </c>
      <c r="G333" s="3" t="s">
        <v>481</v>
      </c>
      <c r="H333" s="3" t="s">
        <v>1706</v>
      </c>
      <c r="I333" s="3" t="s">
        <v>1707</v>
      </c>
      <c r="J333" s="3" t="s">
        <v>1708</v>
      </c>
      <c r="K333" s="0" t="n">
        <v>-1000</v>
      </c>
      <c r="L333" s="0" t="n">
        <v>1000</v>
      </c>
      <c r="M333" s="0" t="n">
        <v>-1000</v>
      </c>
      <c r="N333" s="0" t="n">
        <v>1000</v>
      </c>
      <c r="O333" s="0" t="n">
        <v>-1000</v>
      </c>
      <c r="P333" s="0" t="n">
        <v>1000</v>
      </c>
    </row>
    <row r="334" customFormat="false" ht="15" hidden="false" customHeight="false" outlineLevel="0" collapsed="false">
      <c r="A334" s="3" t="s">
        <v>1709</v>
      </c>
      <c r="B334" s="3" t="s">
        <v>1710</v>
      </c>
      <c r="C334" s="3" t="s">
        <v>1711</v>
      </c>
      <c r="D334" s="7" t="n">
        <v>1</v>
      </c>
      <c r="E334" s="3" t="s">
        <v>1712</v>
      </c>
      <c r="G334" s="3" t="s">
        <v>923</v>
      </c>
      <c r="K334" s="0" t="n">
        <v>0</v>
      </c>
      <c r="L334" s="0" t="n">
        <v>1000</v>
      </c>
      <c r="M334" s="0" t="n">
        <v>0</v>
      </c>
      <c r="N334" s="0" t="n">
        <v>1000</v>
      </c>
      <c r="O334" s="0" t="n">
        <v>0</v>
      </c>
      <c r="P334" s="0" t="n">
        <v>1000</v>
      </c>
    </row>
    <row r="335" customFormat="false" ht="15" hidden="false" customHeight="false" outlineLevel="0" collapsed="false">
      <c r="A335" s="3" t="s">
        <v>1713</v>
      </c>
      <c r="B335" s="3" t="s">
        <v>1714</v>
      </c>
      <c r="C335" s="3" t="s">
        <v>1715</v>
      </c>
      <c r="D335" s="7" t="n">
        <v>2</v>
      </c>
      <c r="E335" s="3" t="s">
        <v>1716</v>
      </c>
      <c r="G335" s="3" t="s">
        <v>481</v>
      </c>
      <c r="H335" s="3" t="s">
        <v>1717</v>
      </c>
      <c r="I335" s="3" t="s">
        <v>1718</v>
      </c>
      <c r="J335" s="3" t="s">
        <v>1719</v>
      </c>
      <c r="K335" s="0" t="n">
        <v>-1000</v>
      </c>
      <c r="L335" s="0" t="n">
        <v>1000</v>
      </c>
      <c r="M335" s="0" t="n">
        <v>-1000</v>
      </c>
      <c r="N335" s="0" t="n">
        <v>1000</v>
      </c>
      <c r="O335" s="0" t="n">
        <v>-1000</v>
      </c>
      <c r="P335" s="0" t="n">
        <v>1000</v>
      </c>
    </row>
    <row r="336" customFormat="false" ht="15" hidden="false" customHeight="false" outlineLevel="0" collapsed="false">
      <c r="A336" s="3" t="s">
        <v>1720</v>
      </c>
      <c r="B336" s="3" t="s">
        <v>1721</v>
      </c>
      <c r="C336" s="3" t="s">
        <v>1722</v>
      </c>
      <c r="D336" s="7" t="n">
        <v>2</v>
      </c>
      <c r="E336" s="3" t="s">
        <v>1723</v>
      </c>
      <c r="G336" s="3" t="s">
        <v>287</v>
      </c>
      <c r="H336" s="3" t="s">
        <v>1724</v>
      </c>
      <c r="I336" s="3" t="s">
        <v>1725</v>
      </c>
      <c r="J336" s="3" t="s">
        <v>1726</v>
      </c>
      <c r="K336" s="0" t="n">
        <v>-1000</v>
      </c>
      <c r="L336" s="0" t="n">
        <v>1000</v>
      </c>
      <c r="M336" s="0" t="n">
        <v>-1000</v>
      </c>
      <c r="N336" s="0" t="n">
        <v>1000</v>
      </c>
      <c r="O336" s="0" t="n">
        <v>-1000</v>
      </c>
      <c r="P336" s="0" t="n">
        <v>1000</v>
      </c>
    </row>
    <row r="337" customFormat="false" ht="15" hidden="false" customHeight="false" outlineLevel="0" collapsed="false">
      <c r="A337" s="3" t="s">
        <v>1727</v>
      </c>
      <c r="B337" s="3" t="s">
        <v>1728</v>
      </c>
      <c r="C337" s="3" t="s">
        <v>1729</v>
      </c>
      <c r="D337" s="7" t="n">
        <v>2</v>
      </c>
      <c r="E337" s="3" t="s">
        <v>1730</v>
      </c>
      <c r="G337" s="3" t="s">
        <v>537</v>
      </c>
      <c r="H337" s="3" t="s">
        <v>1731</v>
      </c>
      <c r="I337" s="3" t="s">
        <v>1732</v>
      </c>
      <c r="J337" s="3" t="s">
        <v>1733</v>
      </c>
      <c r="K337" s="0" t="n">
        <v>-1000</v>
      </c>
      <c r="L337" s="0" t="n">
        <v>1000</v>
      </c>
      <c r="M337" s="0" t="n">
        <v>-1000</v>
      </c>
      <c r="N337" s="0" t="n">
        <v>1000</v>
      </c>
      <c r="O337" s="0" t="n">
        <v>-1000</v>
      </c>
      <c r="P337" s="0" t="n">
        <v>1000</v>
      </c>
    </row>
    <row r="338" customFormat="false" ht="15" hidden="false" customHeight="false" outlineLevel="0" collapsed="false">
      <c r="A338" s="3" t="s">
        <v>1734</v>
      </c>
      <c r="B338" s="3" t="s">
        <v>1735</v>
      </c>
      <c r="C338" s="3" t="s">
        <v>1736</v>
      </c>
      <c r="D338" s="7" t="n">
        <v>2</v>
      </c>
      <c r="E338" s="3" t="s">
        <v>1737</v>
      </c>
      <c r="G338" s="3" t="s">
        <v>251</v>
      </c>
      <c r="H338" s="3" t="s">
        <v>1738</v>
      </c>
      <c r="I338" s="3" t="s">
        <v>1739</v>
      </c>
      <c r="J338" s="3" t="s">
        <v>1740</v>
      </c>
      <c r="K338" s="0" t="n">
        <v>-1000</v>
      </c>
      <c r="L338" s="0" t="n">
        <v>1000</v>
      </c>
      <c r="M338" s="0" t="n">
        <v>-1000</v>
      </c>
      <c r="N338" s="0" t="n">
        <v>1000</v>
      </c>
      <c r="O338" s="0" t="n">
        <v>-1000</v>
      </c>
      <c r="P338" s="0" t="n">
        <v>1000</v>
      </c>
    </row>
    <row r="339" customFormat="false" ht="15" hidden="false" customHeight="false" outlineLevel="0" collapsed="false">
      <c r="A339" s="3" t="s">
        <v>1741</v>
      </c>
      <c r="B339" s="3" t="s">
        <v>1742</v>
      </c>
      <c r="C339" s="3" t="s">
        <v>1743</v>
      </c>
      <c r="D339" s="7" t="n">
        <v>2</v>
      </c>
      <c r="E339" s="3" t="s">
        <v>1600</v>
      </c>
      <c r="G339" s="3" t="s">
        <v>251</v>
      </c>
      <c r="H339" s="3" t="s">
        <v>1601</v>
      </c>
      <c r="I339" s="3" t="s">
        <v>1602</v>
      </c>
      <c r="J339" s="3" t="s">
        <v>1601</v>
      </c>
      <c r="K339" s="0" t="n">
        <v>0</v>
      </c>
      <c r="L339" s="0" t="n">
        <v>1000</v>
      </c>
      <c r="M339" s="0" t="n">
        <v>0</v>
      </c>
      <c r="N339" s="0" t="n">
        <v>1000</v>
      </c>
      <c r="O339" s="0" t="n">
        <v>0</v>
      </c>
      <c r="P339" s="0" t="n">
        <v>1000</v>
      </c>
    </row>
    <row r="340" customFormat="false" ht="15" hidden="false" customHeight="false" outlineLevel="0" collapsed="false">
      <c r="A340" s="3" t="s">
        <v>1744</v>
      </c>
      <c r="B340" s="3" t="s">
        <v>1745</v>
      </c>
      <c r="C340" s="3" t="s">
        <v>1746</v>
      </c>
      <c r="D340" s="7" t="n">
        <v>2</v>
      </c>
      <c r="F340" s="7" t="n">
        <v>19077236</v>
      </c>
      <c r="G340" s="3" t="s">
        <v>1747</v>
      </c>
      <c r="H340" s="3" t="s">
        <v>1748</v>
      </c>
      <c r="I340" s="3" t="s">
        <v>1749</v>
      </c>
      <c r="J340" s="3" t="s">
        <v>1750</v>
      </c>
      <c r="K340" s="0" t="n">
        <v>0</v>
      </c>
      <c r="L340" s="0" t="n">
        <v>1000</v>
      </c>
      <c r="M340" s="0" t="n">
        <v>0</v>
      </c>
      <c r="N340" s="0" t="n">
        <v>1000</v>
      </c>
      <c r="O340" s="0" t="n">
        <v>0</v>
      </c>
      <c r="P340" s="0" t="n">
        <v>1000</v>
      </c>
    </row>
    <row r="341" customFormat="false" ht="15" hidden="false" customHeight="false" outlineLevel="0" collapsed="false">
      <c r="A341" s="3" t="s">
        <v>1751</v>
      </c>
      <c r="B341" s="3" t="s">
        <v>1752</v>
      </c>
      <c r="C341" s="3" t="s">
        <v>1753</v>
      </c>
      <c r="D341" s="7" t="n">
        <v>2</v>
      </c>
      <c r="F341" s="7" t="n">
        <v>19077236</v>
      </c>
      <c r="G341" s="3" t="s">
        <v>1747</v>
      </c>
      <c r="H341" s="3" t="s">
        <v>1754</v>
      </c>
      <c r="I341" s="3" t="s">
        <v>1755</v>
      </c>
      <c r="J341" s="3" t="s">
        <v>1756</v>
      </c>
      <c r="K341" s="0" t="n">
        <v>0</v>
      </c>
      <c r="L341" s="0" t="n">
        <v>1000</v>
      </c>
      <c r="M341" s="0" t="n">
        <v>0</v>
      </c>
      <c r="N341" s="0" t="n">
        <v>1000</v>
      </c>
      <c r="O341" s="0" t="n">
        <v>0</v>
      </c>
      <c r="P341" s="0" t="n">
        <v>1000</v>
      </c>
    </row>
    <row r="342" customFormat="false" ht="15" hidden="false" customHeight="false" outlineLevel="0" collapsed="false">
      <c r="A342" s="3" t="s">
        <v>1757</v>
      </c>
      <c r="B342" s="3" t="s">
        <v>1758</v>
      </c>
      <c r="C342" s="3" t="s">
        <v>1759</v>
      </c>
      <c r="D342" s="7" t="n">
        <v>2</v>
      </c>
      <c r="F342" s="7" t="n">
        <v>19077236</v>
      </c>
      <c r="G342" s="3" t="s">
        <v>1747</v>
      </c>
      <c r="H342" s="3" t="s">
        <v>1760</v>
      </c>
      <c r="I342" s="3" t="s">
        <v>1761</v>
      </c>
      <c r="J342" s="3" t="s">
        <v>1762</v>
      </c>
      <c r="K342" s="0" t="n">
        <v>0</v>
      </c>
      <c r="L342" s="0" t="n">
        <v>1000</v>
      </c>
      <c r="M342" s="0" t="n">
        <v>0</v>
      </c>
      <c r="N342" s="0" t="n">
        <v>1000</v>
      </c>
      <c r="O342" s="0" t="n">
        <v>0</v>
      </c>
      <c r="P342" s="0" t="n">
        <v>1000</v>
      </c>
    </row>
    <row r="343" customFormat="false" ht="15" hidden="false" customHeight="false" outlineLevel="0" collapsed="false">
      <c r="A343" s="3" t="s">
        <v>1763</v>
      </c>
      <c r="B343" s="3" t="s">
        <v>1764</v>
      </c>
      <c r="C343" s="3" t="s">
        <v>1765</v>
      </c>
      <c r="D343" s="7" t="n">
        <v>1</v>
      </c>
      <c r="G343" s="3" t="s">
        <v>139</v>
      </c>
      <c r="K343" s="0" t="n">
        <v>-1000</v>
      </c>
      <c r="L343" s="0" t="n">
        <v>1000</v>
      </c>
      <c r="M343" s="0" t="n">
        <v>-1000</v>
      </c>
      <c r="N343" s="0" t="n">
        <v>1000</v>
      </c>
      <c r="O343" s="0" t="n">
        <v>-1000</v>
      </c>
      <c r="P343" s="0" t="n">
        <v>1000</v>
      </c>
    </row>
    <row r="344" customFormat="false" ht="15" hidden="false" customHeight="false" outlineLevel="0" collapsed="false">
      <c r="A344" s="3" t="s">
        <v>1766</v>
      </c>
      <c r="B344" s="3" t="s">
        <v>1767</v>
      </c>
      <c r="C344" s="3" t="s">
        <v>1768</v>
      </c>
      <c r="D344" s="7" t="n">
        <v>1</v>
      </c>
      <c r="G344" s="3" t="s">
        <v>143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3" t="s">
        <v>1769</v>
      </c>
      <c r="B345" s="3" t="s">
        <v>1770</v>
      </c>
      <c r="C345" s="3" t="s">
        <v>1771</v>
      </c>
      <c r="D345" s="7" t="n">
        <v>2</v>
      </c>
      <c r="E345" s="3" t="s">
        <v>1772</v>
      </c>
      <c r="G345" s="3" t="s">
        <v>213</v>
      </c>
      <c r="H345" s="3" t="s">
        <v>1773</v>
      </c>
      <c r="I345" s="3" t="s">
        <v>1774</v>
      </c>
      <c r="J345" s="3" t="s">
        <v>1775</v>
      </c>
      <c r="K345" s="0" t="n">
        <v>-1000</v>
      </c>
      <c r="L345" s="0" t="n">
        <v>1000</v>
      </c>
      <c r="M345" s="0" t="n">
        <v>-1000</v>
      </c>
      <c r="N345" s="0" t="n">
        <v>1000</v>
      </c>
      <c r="O345" s="0" t="n">
        <v>-1000</v>
      </c>
      <c r="P345" s="0" t="n">
        <v>1000</v>
      </c>
    </row>
    <row r="346" customFormat="false" ht="15" hidden="false" customHeight="false" outlineLevel="0" collapsed="false">
      <c r="A346" s="3" t="s">
        <v>1776</v>
      </c>
      <c r="C346" s="3" t="s">
        <v>1777</v>
      </c>
      <c r="D346" s="7" t="n">
        <v>2</v>
      </c>
      <c r="E346" s="3" t="s">
        <v>1772</v>
      </c>
      <c r="G346" s="3" t="s">
        <v>213</v>
      </c>
      <c r="H346" s="3" t="s">
        <v>1773</v>
      </c>
      <c r="I346" s="3" t="s">
        <v>1774</v>
      </c>
      <c r="J346" s="3" t="s">
        <v>1775</v>
      </c>
      <c r="K346" s="0" t="n">
        <v>-1000</v>
      </c>
      <c r="L346" s="0" t="n">
        <v>1000</v>
      </c>
      <c r="M346" s="0" t="n">
        <v>-1000</v>
      </c>
      <c r="N346" s="0" t="n">
        <v>1000</v>
      </c>
      <c r="O346" s="0" t="n">
        <v>-1000</v>
      </c>
      <c r="P346" s="0" t="n">
        <v>1000</v>
      </c>
    </row>
    <row r="347" customFormat="false" ht="15" hidden="false" customHeight="false" outlineLevel="0" collapsed="false">
      <c r="A347" s="3" t="s">
        <v>1778</v>
      </c>
      <c r="B347" s="3" t="s">
        <v>1779</v>
      </c>
      <c r="C347" s="3" t="s">
        <v>1780</v>
      </c>
      <c r="D347" s="7" t="n">
        <v>2</v>
      </c>
      <c r="E347" s="3" t="s">
        <v>1781</v>
      </c>
      <c r="G347" s="3" t="s">
        <v>537</v>
      </c>
      <c r="H347" s="3" t="s">
        <v>1782</v>
      </c>
      <c r="I347" s="3" t="s">
        <v>1783</v>
      </c>
      <c r="J347" s="3" t="s">
        <v>1784</v>
      </c>
      <c r="K347" s="0" t="n">
        <v>0</v>
      </c>
      <c r="L347" s="0" t="n">
        <v>1000</v>
      </c>
      <c r="M347" s="0" t="n">
        <v>0</v>
      </c>
      <c r="N347" s="0" t="n">
        <v>1000</v>
      </c>
      <c r="O347" s="0" t="n">
        <v>0</v>
      </c>
      <c r="P347" s="0" t="n">
        <v>1000</v>
      </c>
    </row>
    <row r="348" customFormat="false" ht="15" hidden="false" customHeight="false" outlineLevel="0" collapsed="false">
      <c r="A348" s="3" t="s">
        <v>1785</v>
      </c>
      <c r="B348" s="3" t="s">
        <v>1786</v>
      </c>
      <c r="C348" s="3" t="s">
        <v>1787</v>
      </c>
      <c r="D348" s="7" t="n">
        <v>2</v>
      </c>
      <c r="E348" s="3" t="s">
        <v>1788</v>
      </c>
      <c r="G348" s="3" t="s">
        <v>537</v>
      </c>
      <c r="H348" s="3" t="s">
        <v>1676</v>
      </c>
      <c r="I348" s="3" t="s">
        <v>1789</v>
      </c>
      <c r="J348" s="3" t="s">
        <v>1790</v>
      </c>
      <c r="K348" s="0" t="n">
        <v>0</v>
      </c>
      <c r="L348" s="0" t="n">
        <v>1000</v>
      </c>
      <c r="M348" s="0" t="n">
        <v>0</v>
      </c>
      <c r="N348" s="0" t="n">
        <v>1000</v>
      </c>
      <c r="O348" s="0" t="n">
        <v>0</v>
      </c>
      <c r="P348" s="0" t="n">
        <v>1000</v>
      </c>
    </row>
    <row r="349" customFormat="false" ht="15" hidden="false" customHeight="false" outlineLevel="0" collapsed="false">
      <c r="A349" s="3" t="s">
        <v>1791</v>
      </c>
      <c r="B349" s="3" t="s">
        <v>1792</v>
      </c>
      <c r="C349" s="3" t="s">
        <v>1793</v>
      </c>
      <c r="D349" s="7" t="n">
        <v>2</v>
      </c>
      <c r="E349" s="3" t="s">
        <v>1794</v>
      </c>
      <c r="G349" s="3" t="s">
        <v>423</v>
      </c>
      <c r="H349" s="3" t="s">
        <v>1795</v>
      </c>
      <c r="I349" s="3" t="s">
        <v>1796</v>
      </c>
      <c r="J349" s="3" t="s">
        <v>1797</v>
      </c>
      <c r="K349" s="0" t="n">
        <v>-1000</v>
      </c>
      <c r="L349" s="0" t="n">
        <v>1000</v>
      </c>
      <c r="M349" s="0" t="n">
        <v>-1000</v>
      </c>
      <c r="N349" s="0" t="n">
        <v>1000</v>
      </c>
      <c r="O349" s="0" t="n">
        <v>-1000</v>
      </c>
      <c r="P349" s="0" t="n">
        <v>1000</v>
      </c>
    </row>
    <row r="350" customFormat="false" ht="15" hidden="false" customHeight="false" outlineLevel="0" collapsed="false">
      <c r="A350" s="3" t="s">
        <v>1798</v>
      </c>
      <c r="B350" s="3" t="s">
        <v>1799</v>
      </c>
      <c r="C350" s="3" t="s">
        <v>1800</v>
      </c>
      <c r="D350" s="7" t="n">
        <v>2</v>
      </c>
      <c r="E350" s="3" t="s">
        <v>1801</v>
      </c>
      <c r="G350" s="3" t="s">
        <v>192</v>
      </c>
      <c r="H350" s="3" t="s">
        <v>1802</v>
      </c>
      <c r="I350" s="3" t="s">
        <v>1803</v>
      </c>
      <c r="J350" s="3" t="s">
        <v>1804</v>
      </c>
      <c r="K350" s="0" t="n">
        <v>-1000</v>
      </c>
      <c r="L350" s="0" t="n">
        <v>1000</v>
      </c>
      <c r="M350" s="0" t="n">
        <v>-1000</v>
      </c>
      <c r="N350" s="0" t="n">
        <v>1000</v>
      </c>
      <c r="O350" s="0" t="n">
        <v>-1000</v>
      </c>
      <c r="P350" s="0" t="n">
        <v>1000</v>
      </c>
    </row>
    <row r="351" customFormat="false" ht="15" hidden="false" customHeight="false" outlineLevel="0" collapsed="false">
      <c r="A351" s="3" t="s">
        <v>1805</v>
      </c>
      <c r="B351" s="3" t="s">
        <v>1806</v>
      </c>
      <c r="C351" s="3" t="s">
        <v>1807</v>
      </c>
      <c r="D351" s="7" t="n">
        <v>2</v>
      </c>
      <c r="E351" s="3" t="s">
        <v>1808</v>
      </c>
      <c r="G351" s="3" t="s">
        <v>308</v>
      </c>
      <c r="H351" s="3" t="s">
        <v>356</v>
      </c>
      <c r="I351" s="3" t="s">
        <v>357</v>
      </c>
      <c r="J351" s="3" t="s">
        <v>358</v>
      </c>
      <c r="K351" s="0" t="n">
        <v>-1000</v>
      </c>
      <c r="L351" s="0" t="n">
        <v>1000</v>
      </c>
      <c r="M351" s="0" t="n">
        <v>-1000</v>
      </c>
      <c r="N351" s="0" t="n">
        <v>1000</v>
      </c>
      <c r="O351" s="0" t="n">
        <v>-1000</v>
      </c>
      <c r="P351" s="0" t="n">
        <v>1000</v>
      </c>
    </row>
    <row r="352" customFormat="false" ht="15" hidden="false" customHeight="false" outlineLevel="0" collapsed="false">
      <c r="A352" s="3" t="s">
        <v>1809</v>
      </c>
      <c r="B352" s="3" t="s">
        <v>1810</v>
      </c>
      <c r="C352" s="3" t="s">
        <v>1811</v>
      </c>
      <c r="D352" s="7" t="n">
        <v>2</v>
      </c>
      <c r="E352" s="3" t="s">
        <v>1812</v>
      </c>
      <c r="G352" s="3" t="s">
        <v>308</v>
      </c>
      <c r="H352" s="3" t="s">
        <v>1813</v>
      </c>
      <c r="I352" s="3" t="s">
        <v>1814</v>
      </c>
      <c r="J352" s="3" t="s">
        <v>1815</v>
      </c>
      <c r="K352" s="0" t="n">
        <v>0</v>
      </c>
      <c r="L352" s="0" t="n">
        <v>1000</v>
      </c>
      <c r="M352" s="0" t="n">
        <v>0</v>
      </c>
      <c r="N352" s="0" t="n">
        <v>1000</v>
      </c>
      <c r="O352" s="0" t="n">
        <v>0</v>
      </c>
      <c r="P352" s="0" t="n">
        <v>1000</v>
      </c>
    </row>
    <row r="353" customFormat="false" ht="15" hidden="false" customHeight="false" outlineLevel="0" collapsed="false">
      <c r="A353" s="3" t="s">
        <v>1816</v>
      </c>
      <c r="B353" s="3" t="s">
        <v>1817</v>
      </c>
      <c r="C353" s="3" t="s">
        <v>1818</v>
      </c>
      <c r="D353" s="7" t="n">
        <v>1</v>
      </c>
      <c r="E353" s="3" t="s">
        <v>1570</v>
      </c>
      <c r="G353" s="3" t="s">
        <v>251</v>
      </c>
      <c r="K353" s="0" t="n">
        <v>-1000</v>
      </c>
      <c r="L353" s="0" t="n">
        <v>1000</v>
      </c>
      <c r="M353" s="0" t="n">
        <v>-1000</v>
      </c>
      <c r="N353" s="0" t="n">
        <v>1000</v>
      </c>
      <c r="O353" s="0" t="n">
        <v>-1000</v>
      </c>
      <c r="P353" s="0" t="n">
        <v>1000</v>
      </c>
    </row>
    <row r="354" customFormat="false" ht="15" hidden="false" customHeight="false" outlineLevel="0" collapsed="false">
      <c r="A354" s="3" t="s">
        <v>1819</v>
      </c>
      <c r="B354" s="3" t="s">
        <v>1820</v>
      </c>
      <c r="C354" s="3" t="s">
        <v>1821</v>
      </c>
      <c r="D354" s="7" t="n">
        <v>1</v>
      </c>
      <c r="E354" s="3" t="s">
        <v>1822</v>
      </c>
      <c r="G354" s="3" t="s">
        <v>1823</v>
      </c>
      <c r="K354" s="0" t="n">
        <v>-1000</v>
      </c>
      <c r="L354" s="0" t="n">
        <v>1000</v>
      </c>
      <c r="M354" s="0" t="n">
        <v>-1000</v>
      </c>
      <c r="N354" s="0" t="n">
        <v>1000</v>
      </c>
      <c r="O354" s="0" t="n">
        <v>-1000</v>
      </c>
      <c r="P354" s="0" t="n">
        <v>1000</v>
      </c>
    </row>
    <row r="355" customFormat="false" ht="15" hidden="false" customHeight="false" outlineLevel="0" collapsed="false">
      <c r="A355" s="3" t="s">
        <v>1824</v>
      </c>
      <c r="B355" s="3" t="s">
        <v>1825</v>
      </c>
      <c r="C355" s="3" t="s">
        <v>1826</v>
      </c>
      <c r="D355" s="7" t="n">
        <v>2</v>
      </c>
      <c r="E355" s="3" t="s">
        <v>990</v>
      </c>
      <c r="G355" s="3" t="s">
        <v>656</v>
      </c>
      <c r="H355" s="3" t="s">
        <v>991</v>
      </c>
      <c r="I355" s="3" t="s">
        <v>992</v>
      </c>
      <c r="J355" s="3" t="s">
        <v>993</v>
      </c>
      <c r="K355" s="0" t="n">
        <v>0</v>
      </c>
      <c r="L355" s="0" t="n">
        <v>1000</v>
      </c>
      <c r="M355" s="0" t="n">
        <v>0</v>
      </c>
      <c r="N355" s="0" t="n">
        <v>1000</v>
      </c>
      <c r="O355" s="0" t="n">
        <v>0</v>
      </c>
      <c r="P355" s="0" t="n">
        <v>1000</v>
      </c>
    </row>
    <row r="356" customFormat="false" ht="15" hidden="false" customHeight="false" outlineLevel="0" collapsed="false">
      <c r="A356" s="3" t="s">
        <v>1827</v>
      </c>
      <c r="B356" s="3" t="s">
        <v>1828</v>
      </c>
      <c r="C356" s="3" t="s">
        <v>1829</v>
      </c>
      <c r="D356" s="7" t="n">
        <v>4</v>
      </c>
      <c r="E356" s="3" t="s">
        <v>1830</v>
      </c>
      <c r="F356" s="15" t="s">
        <v>1831</v>
      </c>
      <c r="G356" s="3" t="s">
        <v>192</v>
      </c>
      <c r="H356" s="3" t="s">
        <v>1832</v>
      </c>
      <c r="I356" s="3" t="s">
        <v>1833</v>
      </c>
      <c r="J356" s="3" t="s">
        <v>1834</v>
      </c>
      <c r="K356" s="0" t="n">
        <v>0</v>
      </c>
      <c r="L356" s="0" t="n">
        <v>1000</v>
      </c>
      <c r="M356" s="0" t="n">
        <v>0</v>
      </c>
      <c r="N356" s="0" t="n">
        <v>1000</v>
      </c>
      <c r="O356" s="0" t="n">
        <v>0</v>
      </c>
      <c r="P356" s="0" t="n">
        <v>1000</v>
      </c>
    </row>
    <row r="357" customFormat="false" ht="15" hidden="false" customHeight="false" outlineLevel="0" collapsed="false">
      <c r="A357" s="3" t="s">
        <v>1835</v>
      </c>
      <c r="B357" s="3" t="s">
        <v>1836</v>
      </c>
      <c r="C357" s="3" t="s">
        <v>1837</v>
      </c>
      <c r="D357" s="7" t="n">
        <v>2</v>
      </c>
      <c r="E357" s="3" t="s">
        <v>1838</v>
      </c>
      <c r="G357" s="3" t="s">
        <v>192</v>
      </c>
      <c r="H357" s="3" t="s">
        <v>1839</v>
      </c>
      <c r="I357" s="3" t="s">
        <v>1840</v>
      </c>
      <c r="J357" s="3" t="s">
        <v>1841</v>
      </c>
      <c r="K357" s="0" t="n">
        <v>-1000</v>
      </c>
      <c r="L357" s="0" t="n">
        <v>1000</v>
      </c>
      <c r="M357" s="0" t="n">
        <v>-1000</v>
      </c>
      <c r="N357" s="0" t="n">
        <v>1000</v>
      </c>
      <c r="O357" s="0" t="n">
        <v>-1000</v>
      </c>
      <c r="P357" s="0" t="n">
        <v>1000</v>
      </c>
    </row>
    <row r="358" customFormat="false" ht="15" hidden="false" customHeight="false" outlineLevel="0" collapsed="false">
      <c r="A358" s="3" t="s">
        <v>1842</v>
      </c>
      <c r="B358" s="3" t="s">
        <v>1843</v>
      </c>
      <c r="C358" s="3" t="s">
        <v>1844</v>
      </c>
      <c r="D358" s="7" t="n">
        <v>2</v>
      </c>
      <c r="E358" s="3" t="s">
        <v>1845</v>
      </c>
      <c r="G358" s="3" t="s">
        <v>192</v>
      </c>
      <c r="H358" s="3" t="s">
        <v>1846</v>
      </c>
      <c r="I358" s="3" t="s">
        <v>1847</v>
      </c>
      <c r="J358" s="3" t="s">
        <v>1848</v>
      </c>
      <c r="K358" s="0" t="n">
        <v>0</v>
      </c>
      <c r="L358" s="0" t="n">
        <v>1000</v>
      </c>
      <c r="M358" s="0" t="n">
        <v>0</v>
      </c>
      <c r="N358" s="0" t="n">
        <v>1000</v>
      </c>
      <c r="O358" s="0" t="n">
        <v>0</v>
      </c>
      <c r="P358" s="0" t="n">
        <v>1000</v>
      </c>
    </row>
    <row r="359" customFormat="false" ht="15" hidden="false" customHeight="false" outlineLevel="0" collapsed="false">
      <c r="A359" s="3" t="s">
        <v>1849</v>
      </c>
      <c r="B359" s="3" t="s">
        <v>1850</v>
      </c>
      <c r="C359" s="3" t="s">
        <v>1851</v>
      </c>
      <c r="D359" s="7" t="n">
        <v>2</v>
      </c>
      <c r="E359" s="3" t="s">
        <v>1852</v>
      </c>
      <c r="G359" s="3" t="s">
        <v>192</v>
      </c>
      <c r="H359" s="3" t="s">
        <v>1853</v>
      </c>
      <c r="I359" s="3" t="s">
        <v>1854</v>
      </c>
      <c r="J359" s="3" t="s">
        <v>1855</v>
      </c>
      <c r="K359" s="0" t="n">
        <v>-1000</v>
      </c>
      <c r="L359" s="0" t="n">
        <v>1000</v>
      </c>
      <c r="M359" s="0" t="n">
        <v>-1000</v>
      </c>
      <c r="N359" s="0" t="n">
        <v>1000</v>
      </c>
      <c r="O359" s="0" t="n">
        <v>-1000</v>
      </c>
      <c r="P359" s="0" t="n">
        <v>1000</v>
      </c>
    </row>
    <row r="360" customFormat="false" ht="15" hidden="false" customHeight="false" outlineLevel="0" collapsed="false">
      <c r="A360" s="3" t="s">
        <v>1856</v>
      </c>
      <c r="B360" s="3" t="s">
        <v>1857</v>
      </c>
      <c r="C360" s="3" t="s">
        <v>1858</v>
      </c>
      <c r="D360" s="7" t="n">
        <v>2</v>
      </c>
      <c r="E360" s="3" t="s">
        <v>1852</v>
      </c>
      <c r="G360" s="3" t="s">
        <v>192</v>
      </c>
      <c r="H360" s="3" t="s">
        <v>1853</v>
      </c>
      <c r="I360" s="3" t="s">
        <v>1854</v>
      </c>
      <c r="J360" s="3" t="s">
        <v>1855</v>
      </c>
      <c r="K360" s="0" t="n">
        <v>-1000</v>
      </c>
      <c r="L360" s="0" t="n">
        <v>1000</v>
      </c>
      <c r="M360" s="0" t="n">
        <v>-1000</v>
      </c>
      <c r="N360" s="0" t="n">
        <v>1000</v>
      </c>
      <c r="O360" s="0" t="n">
        <v>-1000</v>
      </c>
      <c r="P360" s="0" t="n">
        <v>1000</v>
      </c>
    </row>
    <row r="361" customFormat="false" ht="15" hidden="false" customHeight="false" outlineLevel="0" collapsed="false">
      <c r="A361" s="3" t="s">
        <v>1859</v>
      </c>
      <c r="B361" s="3" t="s">
        <v>1860</v>
      </c>
      <c r="C361" s="3" t="s">
        <v>1861</v>
      </c>
      <c r="D361" s="7" t="n">
        <v>3</v>
      </c>
      <c r="E361" s="3" t="s">
        <v>1862</v>
      </c>
      <c r="F361" s="7" t="n">
        <v>15044494</v>
      </c>
      <c r="G361" s="3" t="s">
        <v>1682</v>
      </c>
      <c r="H361" s="3" t="s">
        <v>1863</v>
      </c>
      <c r="I361" s="3" t="s">
        <v>1864</v>
      </c>
      <c r="J361" s="3" t="s">
        <v>1865</v>
      </c>
      <c r="K361" s="0" t="n">
        <v>0</v>
      </c>
      <c r="L361" s="0" t="n">
        <v>1000</v>
      </c>
      <c r="M361" s="0" t="n">
        <v>0</v>
      </c>
      <c r="N361" s="0" t="n">
        <v>1000</v>
      </c>
      <c r="O361" s="0" t="n">
        <v>0</v>
      </c>
      <c r="P361" s="0" t="n">
        <v>1000</v>
      </c>
    </row>
    <row r="362" customFormat="false" ht="15" hidden="false" customHeight="false" outlineLevel="0" collapsed="false">
      <c r="A362" s="3" t="s">
        <v>1866</v>
      </c>
      <c r="B362" s="3" t="s">
        <v>1867</v>
      </c>
      <c r="C362" s="3" t="s">
        <v>1868</v>
      </c>
      <c r="D362" s="7" t="n">
        <v>2</v>
      </c>
      <c r="E362" s="3" t="s">
        <v>1869</v>
      </c>
      <c r="G362" s="3" t="s">
        <v>1870</v>
      </c>
      <c r="H362" s="3" t="s">
        <v>1871</v>
      </c>
      <c r="I362" s="3" t="s">
        <v>1872</v>
      </c>
      <c r="J362" s="3" t="s">
        <v>1873</v>
      </c>
      <c r="K362" s="0" t="n">
        <v>-1000</v>
      </c>
      <c r="L362" s="0" t="n">
        <v>1000</v>
      </c>
      <c r="M362" s="0" t="n">
        <v>-1000</v>
      </c>
      <c r="N362" s="0" t="n">
        <v>1000</v>
      </c>
      <c r="O362" s="0" t="n">
        <v>-1000</v>
      </c>
      <c r="P362" s="0" t="n">
        <v>1000</v>
      </c>
    </row>
    <row r="363" customFormat="false" ht="15" hidden="false" customHeight="false" outlineLevel="0" collapsed="false">
      <c r="A363" s="3" t="s">
        <v>1874</v>
      </c>
      <c r="B363" s="3" t="s">
        <v>1860</v>
      </c>
      <c r="C363" s="3" t="s">
        <v>1875</v>
      </c>
      <c r="D363" s="7" t="n">
        <v>3</v>
      </c>
      <c r="E363" s="3" t="s">
        <v>1876</v>
      </c>
      <c r="F363" s="7" t="n">
        <v>15044494</v>
      </c>
      <c r="G363" s="3" t="s">
        <v>1682</v>
      </c>
      <c r="H363" s="3" t="s">
        <v>1863</v>
      </c>
      <c r="I363" s="3" t="s">
        <v>1864</v>
      </c>
      <c r="J363" s="3" t="s">
        <v>1865</v>
      </c>
      <c r="K363" s="0" t="n">
        <v>0</v>
      </c>
      <c r="L363" s="0" t="n">
        <v>1000</v>
      </c>
      <c r="M363" s="0" t="n">
        <v>0</v>
      </c>
      <c r="N363" s="0" t="n">
        <v>1000</v>
      </c>
      <c r="O363" s="0" t="n">
        <v>0</v>
      </c>
      <c r="P363" s="0" t="n">
        <v>1000</v>
      </c>
    </row>
    <row r="364" customFormat="false" ht="15" hidden="false" customHeight="false" outlineLevel="0" collapsed="false">
      <c r="A364" s="3" t="s">
        <v>1877</v>
      </c>
      <c r="B364" s="3" t="s">
        <v>1878</v>
      </c>
      <c r="C364" s="3" t="s">
        <v>1879</v>
      </c>
      <c r="D364" s="7" t="n">
        <v>2</v>
      </c>
      <c r="E364" s="3" t="s">
        <v>1880</v>
      </c>
      <c r="G364" s="3" t="s">
        <v>1870</v>
      </c>
      <c r="H364" s="3" t="s">
        <v>1881</v>
      </c>
      <c r="I364" s="3" t="s">
        <v>1882</v>
      </c>
      <c r="J364" s="3" t="s">
        <v>1883</v>
      </c>
      <c r="K364" s="0" t="n">
        <v>-1000</v>
      </c>
      <c r="L364" s="0" t="n">
        <v>1000</v>
      </c>
      <c r="M364" s="0" t="n">
        <v>-1000</v>
      </c>
      <c r="N364" s="0" t="n">
        <v>1000</v>
      </c>
      <c r="O364" s="0" t="n">
        <v>-1000</v>
      </c>
      <c r="P364" s="0" t="n">
        <v>1000</v>
      </c>
    </row>
    <row r="365" customFormat="false" ht="15" hidden="false" customHeight="false" outlineLevel="0" collapsed="false">
      <c r="A365" s="3" t="s">
        <v>1884</v>
      </c>
      <c r="B365" s="3" t="s">
        <v>1885</v>
      </c>
      <c r="C365" s="3" t="s">
        <v>1886</v>
      </c>
      <c r="D365" s="7" t="n">
        <v>2</v>
      </c>
      <c r="E365" s="3" t="s">
        <v>1887</v>
      </c>
      <c r="G365" s="3" t="s">
        <v>1870</v>
      </c>
      <c r="H365" s="3" t="s">
        <v>1888</v>
      </c>
      <c r="I365" s="3" t="s">
        <v>1889</v>
      </c>
      <c r="J365" s="3" t="s">
        <v>1890</v>
      </c>
      <c r="K365" s="0" t="n">
        <v>0</v>
      </c>
      <c r="L365" s="0" t="n">
        <v>1000</v>
      </c>
      <c r="M365" s="0" t="n">
        <v>0</v>
      </c>
      <c r="N365" s="0" t="n">
        <v>1000</v>
      </c>
      <c r="O365" s="0" t="n">
        <v>0</v>
      </c>
      <c r="P365" s="0" t="n">
        <v>1000</v>
      </c>
    </row>
    <row r="366" customFormat="false" ht="15" hidden="false" customHeight="false" outlineLevel="0" collapsed="false">
      <c r="A366" s="3" t="s">
        <v>1891</v>
      </c>
      <c r="B366" s="3" t="s">
        <v>1892</v>
      </c>
      <c r="C366" s="3" t="s">
        <v>1893</v>
      </c>
      <c r="D366" s="7" t="n">
        <v>1</v>
      </c>
      <c r="E366" s="3" t="s">
        <v>1894</v>
      </c>
      <c r="G366" s="3" t="s">
        <v>287</v>
      </c>
      <c r="K366" s="0" t="n">
        <v>0</v>
      </c>
      <c r="L366" s="0" t="n">
        <v>1000</v>
      </c>
      <c r="M366" s="0" t="n">
        <v>0</v>
      </c>
      <c r="N366" s="0" t="n">
        <v>1000</v>
      </c>
      <c r="O366" s="0" t="n">
        <v>0</v>
      </c>
      <c r="P366" s="0" t="n">
        <v>1000</v>
      </c>
    </row>
    <row r="367" customFormat="false" ht="15" hidden="false" customHeight="false" outlineLevel="0" collapsed="false">
      <c r="A367" s="3" t="s">
        <v>1895</v>
      </c>
      <c r="B367" s="3" t="s">
        <v>1896</v>
      </c>
      <c r="C367" s="3" t="s">
        <v>1897</v>
      </c>
      <c r="D367" s="7" t="n">
        <v>1</v>
      </c>
      <c r="G367" s="3" t="s">
        <v>139</v>
      </c>
      <c r="K367" s="0" t="n">
        <v>-1000</v>
      </c>
      <c r="L367" s="0" t="n">
        <v>1000</v>
      </c>
      <c r="M367" s="0" t="n">
        <v>-1000</v>
      </c>
      <c r="N367" s="0" t="n">
        <v>1000</v>
      </c>
      <c r="O367" s="0" t="n">
        <v>-1000</v>
      </c>
      <c r="P367" s="0" t="n">
        <v>1000</v>
      </c>
    </row>
    <row r="368" customFormat="false" ht="15" hidden="false" customHeight="false" outlineLevel="0" collapsed="false">
      <c r="A368" s="3" t="s">
        <v>1898</v>
      </c>
      <c r="B368" s="3" t="s">
        <v>1899</v>
      </c>
      <c r="C368" s="3" t="s">
        <v>1900</v>
      </c>
      <c r="D368" s="7" t="n">
        <v>2</v>
      </c>
      <c r="F368" s="7" t="n">
        <v>19077236</v>
      </c>
      <c r="G368" s="3" t="s">
        <v>143</v>
      </c>
      <c r="H368" s="3" t="s">
        <v>1901</v>
      </c>
      <c r="I368" s="3" t="s">
        <v>1902</v>
      </c>
      <c r="J368" s="3" t="s">
        <v>1903</v>
      </c>
      <c r="K368" s="0" t="n">
        <v>0</v>
      </c>
      <c r="L368" s="0" t="n">
        <v>1000</v>
      </c>
      <c r="M368" s="0" t="n">
        <v>0</v>
      </c>
      <c r="N368" s="0" t="n">
        <v>1000</v>
      </c>
      <c r="O368" s="0" t="n">
        <v>0</v>
      </c>
      <c r="P368" s="0" t="n">
        <v>1000</v>
      </c>
    </row>
    <row r="369" customFormat="false" ht="15" hidden="false" customHeight="false" outlineLevel="0" collapsed="false">
      <c r="A369" s="3" t="s">
        <v>1904</v>
      </c>
      <c r="B369" s="3" t="s">
        <v>1905</v>
      </c>
      <c r="C369" s="3" t="s">
        <v>1906</v>
      </c>
      <c r="D369" s="7" t="n">
        <v>3</v>
      </c>
      <c r="E369" s="3" t="s">
        <v>1907</v>
      </c>
      <c r="F369" s="7" t="n">
        <v>15044494</v>
      </c>
      <c r="G369" s="3" t="s">
        <v>1908</v>
      </c>
      <c r="H369" s="3" t="s">
        <v>1909</v>
      </c>
      <c r="I369" s="3" t="s">
        <v>1910</v>
      </c>
      <c r="J369" s="3" t="s">
        <v>1909</v>
      </c>
      <c r="K369" s="0" t="n">
        <v>0</v>
      </c>
      <c r="L369" s="0" t="n">
        <v>1000</v>
      </c>
      <c r="M369" s="0" t="n">
        <v>0</v>
      </c>
      <c r="N369" s="0" t="n">
        <v>1000</v>
      </c>
      <c r="O369" s="0" t="n">
        <v>0</v>
      </c>
      <c r="P369" s="0" t="n">
        <v>1000</v>
      </c>
    </row>
    <row r="370" customFormat="false" ht="15" hidden="false" customHeight="false" outlineLevel="0" collapsed="false">
      <c r="A370" s="3" t="s">
        <v>1911</v>
      </c>
      <c r="B370" s="3" t="s">
        <v>1912</v>
      </c>
      <c r="C370" s="3" t="s">
        <v>1913</v>
      </c>
      <c r="D370" s="7" t="n">
        <v>2</v>
      </c>
      <c r="E370" s="3" t="s">
        <v>1801</v>
      </c>
      <c r="G370" s="3" t="s">
        <v>192</v>
      </c>
      <c r="H370" s="3" t="s">
        <v>1802</v>
      </c>
      <c r="I370" s="3" t="s">
        <v>1803</v>
      </c>
      <c r="J370" s="3" t="s">
        <v>1804</v>
      </c>
      <c r="K370" s="0" t="n">
        <v>-1000</v>
      </c>
      <c r="L370" s="0" t="n">
        <v>1000</v>
      </c>
      <c r="M370" s="0" t="n">
        <v>-1000</v>
      </c>
      <c r="N370" s="0" t="n">
        <v>1000</v>
      </c>
      <c r="O370" s="0" t="n">
        <v>-1000</v>
      </c>
      <c r="P370" s="0" t="n">
        <v>1000</v>
      </c>
    </row>
    <row r="371" customFormat="false" ht="15" hidden="false" customHeight="false" outlineLevel="0" collapsed="false">
      <c r="A371" s="3" t="s">
        <v>1914</v>
      </c>
      <c r="C371" s="3" t="s">
        <v>1915</v>
      </c>
      <c r="D371" s="7" t="n">
        <v>3</v>
      </c>
      <c r="F371" s="7" t="n">
        <v>15044493</v>
      </c>
      <c r="G371" s="3" t="s">
        <v>328</v>
      </c>
      <c r="K371" s="0" t="n">
        <v>0</v>
      </c>
      <c r="L371" s="0" t="n">
        <v>1000</v>
      </c>
      <c r="M371" s="0" t="n">
        <v>0</v>
      </c>
      <c r="N371" s="0" t="n">
        <v>1000</v>
      </c>
      <c r="O371" s="0" t="n">
        <v>0</v>
      </c>
      <c r="P371" s="0" t="n">
        <v>1000</v>
      </c>
    </row>
    <row r="372" customFormat="false" ht="15" hidden="false" customHeight="false" outlineLevel="0" collapsed="false">
      <c r="A372" s="3" t="s">
        <v>1916</v>
      </c>
      <c r="B372" s="3" t="s">
        <v>1917</v>
      </c>
      <c r="C372" s="3" t="s">
        <v>1918</v>
      </c>
      <c r="D372" s="7" t="n">
        <v>3</v>
      </c>
      <c r="E372" s="3" t="s">
        <v>1907</v>
      </c>
      <c r="F372" s="7" t="n">
        <v>15044494</v>
      </c>
      <c r="G372" s="3" t="s">
        <v>1908</v>
      </c>
      <c r="H372" s="3" t="s">
        <v>1909</v>
      </c>
      <c r="I372" s="3" t="s">
        <v>1910</v>
      </c>
      <c r="J372" s="3" t="s">
        <v>1909</v>
      </c>
      <c r="K372" s="0" t="n">
        <v>0</v>
      </c>
      <c r="L372" s="0" t="n">
        <v>1000</v>
      </c>
      <c r="M372" s="0" t="n">
        <v>0</v>
      </c>
      <c r="N372" s="0" t="n">
        <v>1000</v>
      </c>
      <c r="O372" s="0" t="n">
        <v>0</v>
      </c>
      <c r="P372" s="0" t="n">
        <v>1000</v>
      </c>
    </row>
    <row r="373" customFormat="false" ht="15" hidden="false" customHeight="false" outlineLevel="0" collapsed="false">
      <c r="A373" s="3" t="s">
        <v>1919</v>
      </c>
      <c r="B373" s="3" t="s">
        <v>1920</v>
      </c>
      <c r="C373" s="3" t="s">
        <v>1921</v>
      </c>
      <c r="D373" s="7" t="n">
        <v>3</v>
      </c>
      <c r="E373" s="3" t="s">
        <v>1922</v>
      </c>
      <c r="F373" s="7" t="n">
        <v>15044494</v>
      </c>
      <c r="G373" s="3" t="s">
        <v>1908</v>
      </c>
      <c r="H373" s="3" t="s">
        <v>1923</v>
      </c>
      <c r="I373" s="3" t="s">
        <v>1924</v>
      </c>
      <c r="J373" s="3" t="s">
        <v>1925</v>
      </c>
      <c r="K373" s="0" t="n">
        <v>0</v>
      </c>
      <c r="L373" s="0" t="n">
        <v>1000</v>
      </c>
      <c r="M373" s="0" t="n">
        <v>0</v>
      </c>
      <c r="N373" s="0" t="n">
        <v>1000</v>
      </c>
      <c r="O373" s="0" t="n">
        <v>0</v>
      </c>
      <c r="P373" s="0" t="n">
        <v>1000</v>
      </c>
    </row>
    <row r="374" customFormat="false" ht="15" hidden="false" customHeight="false" outlineLevel="0" collapsed="false">
      <c r="A374" s="3" t="s">
        <v>1926</v>
      </c>
      <c r="B374" s="3" t="s">
        <v>1927</v>
      </c>
      <c r="C374" s="3" t="s">
        <v>1928</v>
      </c>
      <c r="D374" s="7" t="n">
        <v>3</v>
      </c>
      <c r="F374" s="7" t="n">
        <v>15044493</v>
      </c>
      <c r="G374" s="3" t="s">
        <v>328</v>
      </c>
      <c r="K374" s="0" t="n">
        <v>0</v>
      </c>
      <c r="L374" s="0" t="n">
        <v>1000</v>
      </c>
      <c r="M374" s="0" t="n">
        <v>0</v>
      </c>
      <c r="N374" s="0" t="n">
        <v>1000</v>
      </c>
      <c r="O374" s="0" t="n">
        <v>0</v>
      </c>
      <c r="P374" s="0" t="n">
        <v>1000</v>
      </c>
    </row>
    <row r="375" customFormat="false" ht="15" hidden="false" customHeight="false" outlineLevel="0" collapsed="false">
      <c r="A375" s="3" t="s">
        <v>1929</v>
      </c>
      <c r="B375" s="3" t="s">
        <v>1930</v>
      </c>
      <c r="C375" s="3" t="s">
        <v>1931</v>
      </c>
      <c r="D375" s="7" t="n">
        <v>1</v>
      </c>
      <c r="E375" s="3" t="s">
        <v>203</v>
      </c>
      <c r="G375" s="3" t="s">
        <v>204</v>
      </c>
      <c r="K375" s="0" t="n">
        <v>0</v>
      </c>
      <c r="L375" s="0" t="n">
        <v>1000</v>
      </c>
      <c r="M375" s="0" t="n">
        <v>0</v>
      </c>
      <c r="N375" s="0" t="n">
        <v>1000</v>
      </c>
      <c r="O375" s="0" t="n">
        <v>0</v>
      </c>
      <c r="P375" s="0" t="n">
        <v>1000</v>
      </c>
    </row>
    <row r="376" customFormat="false" ht="15" hidden="false" customHeight="false" outlineLevel="0" collapsed="false">
      <c r="A376" s="3" t="s">
        <v>1932</v>
      </c>
      <c r="B376" s="3" t="s">
        <v>1933</v>
      </c>
      <c r="C376" s="3" t="s">
        <v>1934</v>
      </c>
      <c r="D376" s="7" t="n">
        <v>1</v>
      </c>
      <c r="E376" s="3" t="s">
        <v>1935</v>
      </c>
      <c r="G376" s="3" t="s">
        <v>1936</v>
      </c>
      <c r="K376" s="0" t="n">
        <v>0</v>
      </c>
      <c r="L376" s="0" t="n">
        <v>1000</v>
      </c>
      <c r="M376" s="0" t="n">
        <v>0</v>
      </c>
      <c r="N376" s="0" t="n">
        <v>1000</v>
      </c>
      <c r="O376" s="0" t="n">
        <v>0</v>
      </c>
      <c r="P376" s="0" t="n">
        <v>1000</v>
      </c>
    </row>
    <row r="377" customFormat="false" ht="15" hidden="false" customHeight="false" outlineLevel="0" collapsed="false">
      <c r="A377" s="3" t="s">
        <v>1937</v>
      </c>
      <c r="B377" s="3" t="s">
        <v>1938</v>
      </c>
      <c r="C377" s="3" t="s">
        <v>1939</v>
      </c>
      <c r="D377" s="7" t="n">
        <v>2</v>
      </c>
      <c r="E377" s="3" t="s">
        <v>1940</v>
      </c>
      <c r="G377" s="3" t="s">
        <v>1941</v>
      </c>
      <c r="H377" s="3" t="s">
        <v>1942</v>
      </c>
      <c r="I377" s="3" t="s">
        <v>1943</v>
      </c>
      <c r="J377" s="3" t="s">
        <v>1944</v>
      </c>
      <c r="K377" s="0" t="n">
        <v>0</v>
      </c>
      <c r="L377" s="0" t="n">
        <v>1000</v>
      </c>
      <c r="M377" s="0" t="n">
        <v>0</v>
      </c>
      <c r="N377" s="0" t="n">
        <v>1000</v>
      </c>
      <c r="O377" s="0" t="n">
        <v>0</v>
      </c>
      <c r="P377" s="0" t="n">
        <v>1000</v>
      </c>
    </row>
    <row r="378" customFormat="false" ht="15" hidden="false" customHeight="false" outlineLevel="0" collapsed="false">
      <c r="A378" s="3" t="s">
        <v>1945</v>
      </c>
      <c r="B378" s="3" t="s">
        <v>1946</v>
      </c>
      <c r="C378" s="3" t="s">
        <v>1947</v>
      </c>
      <c r="D378" s="7" t="n">
        <v>2</v>
      </c>
      <c r="E378" s="3" t="s">
        <v>1948</v>
      </c>
      <c r="G378" s="3" t="s">
        <v>391</v>
      </c>
      <c r="H378" s="3" t="s">
        <v>1949</v>
      </c>
      <c r="I378" s="3" t="s">
        <v>1950</v>
      </c>
      <c r="J378" s="3" t="s">
        <v>1949</v>
      </c>
      <c r="K378" s="0" t="n">
        <v>-1000</v>
      </c>
      <c r="L378" s="0" t="n">
        <v>1000</v>
      </c>
      <c r="M378" s="0" t="n">
        <v>-1000</v>
      </c>
      <c r="N378" s="0" t="n">
        <v>1000</v>
      </c>
      <c r="O378" s="0" t="n">
        <v>-1000</v>
      </c>
      <c r="P378" s="0" t="n">
        <v>1000</v>
      </c>
    </row>
    <row r="379" customFormat="false" ht="15" hidden="false" customHeight="false" outlineLevel="0" collapsed="false">
      <c r="A379" s="3" t="s">
        <v>1951</v>
      </c>
      <c r="B379" s="3" t="s">
        <v>1952</v>
      </c>
      <c r="C379" s="3" t="s">
        <v>1953</v>
      </c>
      <c r="D379" s="7" t="n">
        <v>1</v>
      </c>
      <c r="E379" s="3" t="s">
        <v>1954</v>
      </c>
      <c r="G379" s="3" t="s">
        <v>656</v>
      </c>
      <c r="K379" s="0" t="n">
        <v>0</v>
      </c>
      <c r="L379" s="0" t="n">
        <v>1000</v>
      </c>
      <c r="M379" s="0" t="n">
        <v>0</v>
      </c>
      <c r="N379" s="0" t="n">
        <v>1000</v>
      </c>
      <c r="O379" s="0" t="n">
        <v>0</v>
      </c>
      <c r="P379" s="0" t="n">
        <v>1000</v>
      </c>
    </row>
    <row r="380" customFormat="false" ht="15" hidden="false" customHeight="false" outlineLevel="0" collapsed="false">
      <c r="A380" s="3" t="s">
        <v>1955</v>
      </c>
      <c r="B380" s="3" t="s">
        <v>1956</v>
      </c>
      <c r="C380" s="3" t="s">
        <v>1957</v>
      </c>
      <c r="D380" s="7" t="n">
        <v>3</v>
      </c>
      <c r="E380" s="3" t="s">
        <v>1958</v>
      </c>
      <c r="F380" s="7" t="n">
        <v>238956</v>
      </c>
      <c r="G380" s="3" t="s">
        <v>204</v>
      </c>
      <c r="H380" s="3" t="s">
        <v>1959</v>
      </c>
      <c r="I380" s="3" t="s">
        <v>1960</v>
      </c>
      <c r="J380" s="3" t="s">
        <v>1961</v>
      </c>
      <c r="K380" s="0" t="n">
        <v>-1000</v>
      </c>
      <c r="L380" s="0" t="n">
        <v>1000</v>
      </c>
      <c r="M380" s="0" t="n">
        <v>-1000</v>
      </c>
      <c r="N380" s="0" t="n">
        <v>1000</v>
      </c>
      <c r="O380" s="0" t="n">
        <v>-1000</v>
      </c>
      <c r="P380" s="0" t="n">
        <v>1000</v>
      </c>
    </row>
    <row r="381" customFormat="false" ht="15" hidden="false" customHeight="false" outlineLevel="0" collapsed="false">
      <c r="A381" s="3" t="s">
        <v>1962</v>
      </c>
      <c r="B381" s="3" t="s">
        <v>1963</v>
      </c>
      <c r="C381" s="3" t="s">
        <v>1964</v>
      </c>
      <c r="D381" s="7" t="n">
        <v>2</v>
      </c>
      <c r="E381" s="3" t="s">
        <v>1965</v>
      </c>
      <c r="G381" s="3" t="s">
        <v>1966</v>
      </c>
      <c r="H381" s="3" t="s">
        <v>1967</v>
      </c>
      <c r="I381" s="3" t="s">
        <v>1968</v>
      </c>
      <c r="J381" s="3" t="s">
        <v>1969</v>
      </c>
      <c r="K381" s="0" t="n">
        <v>0</v>
      </c>
      <c r="L381" s="0" t="n">
        <v>1000</v>
      </c>
      <c r="M381" s="0" t="n">
        <v>0</v>
      </c>
      <c r="N381" s="0" t="n">
        <v>1000</v>
      </c>
      <c r="O381" s="0" t="n">
        <v>0</v>
      </c>
      <c r="P381" s="0" t="n">
        <v>1000</v>
      </c>
    </row>
    <row r="382" customFormat="false" ht="15" hidden="false" customHeight="false" outlineLevel="0" collapsed="false">
      <c r="A382" s="3" t="s">
        <v>1970</v>
      </c>
      <c r="B382" s="3" t="s">
        <v>1971</v>
      </c>
      <c r="C382" s="3" t="s">
        <v>1972</v>
      </c>
      <c r="D382" s="7" t="n">
        <v>2</v>
      </c>
      <c r="E382" s="3" t="s">
        <v>1973</v>
      </c>
      <c r="F382" s="7" t="n">
        <v>19077236</v>
      </c>
      <c r="G382" s="3" t="s">
        <v>213</v>
      </c>
      <c r="H382" s="3" t="s">
        <v>1974</v>
      </c>
      <c r="I382" s="3" t="s">
        <v>1975</v>
      </c>
      <c r="J382" s="3" t="s">
        <v>1974</v>
      </c>
      <c r="K382" s="0" t="n">
        <v>-1000</v>
      </c>
      <c r="L382" s="0" t="n">
        <v>1000</v>
      </c>
      <c r="M382" s="0" t="n">
        <v>-1000</v>
      </c>
      <c r="N382" s="0" t="n">
        <v>1000</v>
      </c>
      <c r="O382" s="0" t="n">
        <v>-1000</v>
      </c>
      <c r="P382" s="0" t="n">
        <v>1000</v>
      </c>
    </row>
    <row r="383" customFormat="false" ht="15" hidden="false" customHeight="false" outlineLevel="0" collapsed="false">
      <c r="A383" s="3" t="s">
        <v>1976</v>
      </c>
      <c r="B383" s="3" t="s">
        <v>1977</v>
      </c>
      <c r="C383" s="3" t="s">
        <v>1978</v>
      </c>
      <c r="D383" s="7" t="n">
        <v>2</v>
      </c>
      <c r="E383" s="3" t="s">
        <v>1979</v>
      </c>
      <c r="G383" s="3" t="s">
        <v>656</v>
      </c>
      <c r="H383" s="3" t="s">
        <v>1980</v>
      </c>
      <c r="I383" s="3" t="s">
        <v>1981</v>
      </c>
      <c r="J383" s="3" t="s">
        <v>1982</v>
      </c>
      <c r="K383" s="0" t="n">
        <v>0</v>
      </c>
      <c r="L383" s="0" t="n">
        <v>1000</v>
      </c>
      <c r="M383" s="0" t="n">
        <v>0</v>
      </c>
      <c r="N383" s="0" t="n">
        <v>1000</v>
      </c>
      <c r="O383" s="0" t="n">
        <v>0</v>
      </c>
      <c r="P383" s="0" t="n">
        <v>1000</v>
      </c>
    </row>
    <row r="384" customFormat="false" ht="15" hidden="false" customHeight="false" outlineLevel="0" collapsed="false">
      <c r="A384" s="3" t="s">
        <v>1983</v>
      </c>
      <c r="B384" s="3" t="s">
        <v>1984</v>
      </c>
      <c r="C384" s="3" t="s">
        <v>1985</v>
      </c>
      <c r="D384" s="7" t="n">
        <v>2</v>
      </c>
      <c r="E384" s="3" t="s">
        <v>1986</v>
      </c>
      <c r="G384" s="3" t="s">
        <v>656</v>
      </c>
      <c r="H384" s="3" t="s">
        <v>1987</v>
      </c>
      <c r="I384" s="3" t="s">
        <v>1988</v>
      </c>
      <c r="J384" s="3" t="s">
        <v>1989</v>
      </c>
      <c r="K384" s="0" t="n">
        <v>0</v>
      </c>
      <c r="L384" s="0" t="n">
        <v>1000</v>
      </c>
      <c r="M384" s="0" t="n">
        <v>0</v>
      </c>
      <c r="N384" s="0" t="n">
        <v>1000</v>
      </c>
      <c r="O384" s="0" t="n">
        <v>0</v>
      </c>
      <c r="P384" s="0" t="n">
        <v>1000</v>
      </c>
    </row>
    <row r="385" customFormat="false" ht="15" hidden="false" customHeight="false" outlineLevel="0" collapsed="false">
      <c r="A385" s="3" t="s">
        <v>1990</v>
      </c>
      <c r="B385" s="3" t="s">
        <v>1991</v>
      </c>
      <c r="C385" s="3" t="s">
        <v>1992</v>
      </c>
      <c r="D385" s="7" t="n">
        <v>2</v>
      </c>
      <c r="E385" s="3" t="s">
        <v>1993</v>
      </c>
      <c r="G385" s="3" t="s">
        <v>287</v>
      </c>
      <c r="H385" s="3" t="s">
        <v>1994</v>
      </c>
      <c r="I385" s="3" t="s">
        <v>1995</v>
      </c>
      <c r="J385" s="3" t="s">
        <v>1996</v>
      </c>
      <c r="K385" s="0" t="n">
        <v>0</v>
      </c>
      <c r="L385" s="0" t="n">
        <v>1000</v>
      </c>
      <c r="M385" s="0" t="n">
        <v>0</v>
      </c>
      <c r="N385" s="0" t="n">
        <v>1000</v>
      </c>
      <c r="O385" s="0" t="n">
        <v>0</v>
      </c>
      <c r="P385" s="0" t="n">
        <v>1000</v>
      </c>
    </row>
    <row r="386" customFormat="false" ht="15" hidden="false" customHeight="false" outlineLevel="0" collapsed="false">
      <c r="A386" s="3" t="s">
        <v>1997</v>
      </c>
      <c r="B386" s="3" t="s">
        <v>1998</v>
      </c>
      <c r="C386" s="3" t="s">
        <v>1999</v>
      </c>
      <c r="D386" s="7" t="n">
        <v>1</v>
      </c>
      <c r="E386" s="3" t="s">
        <v>2000</v>
      </c>
      <c r="G386" s="3" t="s">
        <v>287</v>
      </c>
      <c r="K386" s="0" t="n">
        <v>-1000</v>
      </c>
      <c r="L386" s="0" t="n">
        <v>1000</v>
      </c>
      <c r="M386" s="0" t="n">
        <v>-1000</v>
      </c>
      <c r="N386" s="0" t="n">
        <v>1000</v>
      </c>
      <c r="O386" s="0" t="n">
        <v>-1000</v>
      </c>
      <c r="P386" s="0" t="n">
        <v>1000</v>
      </c>
    </row>
    <row r="387" customFormat="false" ht="15" hidden="false" customHeight="false" outlineLevel="0" collapsed="false">
      <c r="A387" s="3" t="s">
        <v>2001</v>
      </c>
      <c r="B387" s="3" t="s">
        <v>2002</v>
      </c>
      <c r="C387" s="3" t="s">
        <v>2003</v>
      </c>
      <c r="D387" s="7" t="n">
        <v>1</v>
      </c>
      <c r="G387" s="3" t="s">
        <v>139</v>
      </c>
      <c r="K387" s="0" t="n">
        <v>-1000</v>
      </c>
      <c r="L387" s="0" t="n">
        <v>1000</v>
      </c>
      <c r="M387" s="0" t="n">
        <v>-1000</v>
      </c>
      <c r="N387" s="0" t="n">
        <v>1000</v>
      </c>
      <c r="O387" s="0" t="n">
        <v>-1000</v>
      </c>
      <c r="P387" s="0" t="n">
        <v>1000</v>
      </c>
    </row>
    <row r="388" customFormat="false" ht="15" hidden="false" customHeight="false" outlineLevel="0" collapsed="false">
      <c r="A388" s="3" t="s">
        <v>2004</v>
      </c>
      <c r="B388" s="3" t="s">
        <v>2005</v>
      </c>
      <c r="C388" s="3" t="s">
        <v>2006</v>
      </c>
      <c r="D388" s="7" t="n">
        <v>2</v>
      </c>
      <c r="F388" s="7" t="n">
        <v>19077236</v>
      </c>
      <c r="G388" s="3" t="s">
        <v>143</v>
      </c>
      <c r="H388" s="3" t="s">
        <v>2007</v>
      </c>
      <c r="I388" s="3" t="s">
        <v>2008</v>
      </c>
      <c r="J388" s="3" t="s">
        <v>2007</v>
      </c>
      <c r="K388" s="0" t="n">
        <v>0</v>
      </c>
      <c r="L388" s="0" t="n">
        <v>1000</v>
      </c>
      <c r="M388" s="0" t="n">
        <v>0</v>
      </c>
      <c r="N388" s="0" t="n">
        <v>1000</v>
      </c>
      <c r="O388" s="0" t="n">
        <v>0</v>
      </c>
      <c r="P388" s="0" t="n">
        <v>1000</v>
      </c>
    </row>
    <row r="389" customFormat="false" ht="15" hidden="false" customHeight="false" outlineLevel="0" collapsed="false">
      <c r="A389" s="3" t="s">
        <v>2009</v>
      </c>
      <c r="B389" s="3" t="s">
        <v>2010</v>
      </c>
      <c r="C389" s="3" t="s">
        <v>2011</v>
      </c>
      <c r="D389" s="7" t="n">
        <v>1</v>
      </c>
      <c r="E389" s="3" t="s">
        <v>2012</v>
      </c>
      <c r="G389" s="3" t="s">
        <v>391</v>
      </c>
      <c r="K389" s="0" t="n">
        <v>0</v>
      </c>
      <c r="L389" s="0" t="n">
        <v>1000</v>
      </c>
      <c r="M389" s="0" t="n">
        <v>0</v>
      </c>
      <c r="N389" s="0" t="n">
        <v>1000</v>
      </c>
      <c r="O389" s="0" t="n">
        <v>0</v>
      </c>
      <c r="P389" s="0" t="n">
        <v>1000</v>
      </c>
    </row>
    <row r="390" customFormat="false" ht="15" hidden="false" customHeight="false" outlineLevel="0" collapsed="false">
      <c r="A390" s="3" t="s">
        <v>2013</v>
      </c>
      <c r="B390" s="3" t="s">
        <v>2014</v>
      </c>
      <c r="C390" s="3" t="s">
        <v>2015</v>
      </c>
      <c r="D390" s="7" t="n">
        <v>1</v>
      </c>
      <c r="E390" s="3" t="s">
        <v>2016</v>
      </c>
      <c r="G390" s="3" t="s">
        <v>2017</v>
      </c>
      <c r="K390" s="0" t="n">
        <v>-1000</v>
      </c>
      <c r="L390" s="0" t="n">
        <v>1000</v>
      </c>
      <c r="M390" s="0" t="n">
        <v>-1000</v>
      </c>
      <c r="N390" s="0" t="n">
        <v>1000</v>
      </c>
      <c r="O390" s="0" t="n">
        <v>-1000</v>
      </c>
      <c r="P390" s="0" t="n">
        <v>1000</v>
      </c>
    </row>
    <row r="391" customFormat="false" ht="15" hidden="false" customHeight="false" outlineLevel="0" collapsed="false">
      <c r="A391" s="3" t="s">
        <v>2018</v>
      </c>
      <c r="B391" s="3" t="s">
        <v>2019</v>
      </c>
      <c r="C391" s="3" t="s">
        <v>2020</v>
      </c>
      <c r="D391" s="7" t="n">
        <v>1</v>
      </c>
      <c r="G391" s="3" t="s">
        <v>139</v>
      </c>
      <c r="K391" s="0" t="n">
        <v>-1000</v>
      </c>
      <c r="L391" s="0" t="n">
        <v>1000</v>
      </c>
      <c r="M391" s="0" t="n">
        <v>-1000</v>
      </c>
      <c r="N391" s="0" t="n">
        <v>1000</v>
      </c>
      <c r="O391" s="0" t="n">
        <v>-1000</v>
      </c>
      <c r="P391" s="0" t="n">
        <v>1000</v>
      </c>
    </row>
    <row r="392" customFormat="false" ht="15" hidden="false" customHeight="false" outlineLevel="0" collapsed="false">
      <c r="A392" s="3" t="s">
        <v>2021</v>
      </c>
      <c r="B392" s="3" t="s">
        <v>733</v>
      </c>
      <c r="C392" s="3" t="s">
        <v>2022</v>
      </c>
      <c r="D392" s="7" t="n">
        <v>2</v>
      </c>
      <c r="F392" s="7" t="n">
        <v>19077236</v>
      </c>
      <c r="G392" s="3" t="s">
        <v>143</v>
      </c>
      <c r="H392" s="3" t="s">
        <v>735</v>
      </c>
      <c r="I392" s="3" t="s">
        <v>736</v>
      </c>
      <c r="J392" s="3" t="s">
        <v>737</v>
      </c>
      <c r="K392" s="0" t="n">
        <v>0</v>
      </c>
      <c r="L392" s="0" t="n">
        <v>1000</v>
      </c>
      <c r="M392" s="0" t="n">
        <v>0</v>
      </c>
      <c r="N392" s="0" t="n">
        <v>1000</v>
      </c>
      <c r="O392" s="0" t="n">
        <v>0</v>
      </c>
      <c r="P392" s="0" t="n">
        <v>1000</v>
      </c>
    </row>
    <row r="393" customFormat="false" ht="15" hidden="false" customHeight="false" outlineLevel="0" collapsed="false">
      <c r="A393" s="3" t="s">
        <v>2023</v>
      </c>
      <c r="B393" s="3" t="s">
        <v>2024</v>
      </c>
      <c r="C393" s="3" t="s">
        <v>2025</v>
      </c>
      <c r="D393" s="7" t="n">
        <v>2</v>
      </c>
      <c r="F393" s="7" t="n">
        <v>19077236</v>
      </c>
      <c r="G393" s="3" t="s">
        <v>143</v>
      </c>
      <c r="H393" s="3" t="s">
        <v>2026</v>
      </c>
      <c r="I393" s="3" t="s">
        <v>2027</v>
      </c>
      <c r="J393" s="3" t="s">
        <v>2028</v>
      </c>
      <c r="K393" s="0" t="n">
        <v>0</v>
      </c>
      <c r="L393" s="0" t="n">
        <v>1000</v>
      </c>
      <c r="M393" s="0" t="n">
        <v>0</v>
      </c>
      <c r="N393" s="0" t="n">
        <v>1000</v>
      </c>
      <c r="O393" s="0" t="n">
        <v>0</v>
      </c>
      <c r="P393" s="0" t="n">
        <v>1000</v>
      </c>
    </row>
    <row r="394" customFormat="false" ht="15" hidden="false" customHeight="false" outlineLevel="0" collapsed="false">
      <c r="A394" s="3" t="s">
        <v>2029</v>
      </c>
      <c r="B394" s="3" t="s">
        <v>2030</v>
      </c>
      <c r="C394" s="3" t="s">
        <v>2031</v>
      </c>
      <c r="D394" s="7" t="n">
        <v>2</v>
      </c>
      <c r="E394" s="3" t="s">
        <v>2032</v>
      </c>
      <c r="G394" s="3" t="s">
        <v>2033</v>
      </c>
      <c r="H394" s="3" t="s">
        <v>2034</v>
      </c>
      <c r="I394" s="3" t="s">
        <v>2035</v>
      </c>
      <c r="J394" s="3" t="s">
        <v>2036</v>
      </c>
      <c r="K394" s="0" t="n">
        <v>-1000</v>
      </c>
      <c r="L394" s="0" t="n">
        <v>1000</v>
      </c>
      <c r="M394" s="0" t="n">
        <v>-1000</v>
      </c>
      <c r="N394" s="0" t="n">
        <v>1000</v>
      </c>
      <c r="O394" s="0" t="n">
        <v>-1000</v>
      </c>
      <c r="P394" s="0" t="n">
        <v>1000</v>
      </c>
    </row>
    <row r="395" customFormat="false" ht="15" hidden="false" customHeight="false" outlineLevel="0" collapsed="false">
      <c r="A395" s="3" t="s">
        <v>2037</v>
      </c>
      <c r="B395" s="3" t="s">
        <v>2038</v>
      </c>
      <c r="C395" s="3" t="s">
        <v>2039</v>
      </c>
      <c r="D395" s="7" t="n">
        <v>2</v>
      </c>
      <c r="E395" s="3" t="s">
        <v>2040</v>
      </c>
      <c r="G395" s="3" t="s">
        <v>287</v>
      </c>
      <c r="H395" s="3" t="s">
        <v>2041</v>
      </c>
      <c r="I395" s="3" t="s">
        <v>2042</v>
      </c>
      <c r="J395" s="3" t="s">
        <v>2043</v>
      </c>
      <c r="K395" s="0" t="n">
        <v>-1000</v>
      </c>
      <c r="L395" s="0" t="n">
        <v>1000</v>
      </c>
      <c r="M395" s="0" t="n">
        <v>-1000</v>
      </c>
      <c r="N395" s="0" t="n">
        <v>1000</v>
      </c>
      <c r="O395" s="0" t="n">
        <v>-1000</v>
      </c>
      <c r="P395" s="0" t="n">
        <v>1000</v>
      </c>
    </row>
    <row r="396" customFormat="false" ht="15" hidden="false" customHeight="false" outlineLevel="0" collapsed="false">
      <c r="A396" s="3" t="s">
        <v>2044</v>
      </c>
      <c r="B396" s="3" t="s">
        <v>2045</v>
      </c>
      <c r="C396" s="3" t="s">
        <v>2046</v>
      </c>
      <c r="D396" s="7" t="n">
        <v>2</v>
      </c>
      <c r="E396" s="3" t="s">
        <v>2047</v>
      </c>
      <c r="G396" s="3" t="s">
        <v>1276</v>
      </c>
      <c r="H396" s="3" t="s">
        <v>2048</v>
      </c>
      <c r="I396" s="3" t="s">
        <v>2049</v>
      </c>
      <c r="J396" s="3" t="s">
        <v>2050</v>
      </c>
      <c r="K396" s="0" t="n">
        <v>-1000</v>
      </c>
      <c r="L396" s="0" t="n">
        <v>1000</v>
      </c>
      <c r="M396" s="0" t="n">
        <v>-1000</v>
      </c>
      <c r="N396" s="0" t="n">
        <v>1000</v>
      </c>
      <c r="O396" s="0" t="n">
        <v>-1000</v>
      </c>
      <c r="P396" s="0" t="n">
        <v>1000</v>
      </c>
    </row>
    <row r="397" customFormat="false" ht="15" hidden="false" customHeight="false" outlineLevel="0" collapsed="false">
      <c r="A397" s="3" t="s">
        <v>2051</v>
      </c>
      <c r="B397" s="3" t="s">
        <v>2052</v>
      </c>
      <c r="C397" s="3" t="s">
        <v>2053</v>
      </c>
      <c r="D397" s="7" t="n">
        <v>2</v>
      </c>
      <c r="E397" s="3" t="s">
        <v>2054</v>
      </c>
      <c r="G397" s="3" t="s">
        <v>1276</v>
      </c>
      <c r="H397" s="3" t="s">
        <v>2048</v>
      </c>
      <c r="I397" s="3" t="s">
        <v>2049</v>
      </c>
      <c r="J397" s="3" t="s">
        <v>2050</v>
      </c>
      <c r="K397" s="0" t="n">
        <v>-1000</v>
      </c>
      <c r="L397" s="0" t="n">
        <v>1000</v>
      </c>
      <c r="M397" s="0" t="n">
        <v>-1000</v>
      </c>
      <c r="N397" s="0" t="n">
        <v>1000</v>
      </c>
      <c r="O397" s="0" t="n">
        <v>-1000</v>
      </c>
      <c r="P397" s="0" t="n">
        <v>1000</v>
      </c>
    </row>
    <row r="398" customFormat="false" ht="15" hidden="false" customHeight="false" outlineLevel="0" collapsed="false">
      <c r="A398" s="3" t="s">
        <v>2055</v>
      </c>
      <c r="B398" s="3" t="s">
        <v>2056</v>
      </c>
      <c r="C398" s="3" t="s">
        <v>2057</v>
      </c>
      <c r="D398" s="7" t="n">
        <v>2</v>
      </c>
      <c r="E398" s="3" t="s">
        <v>2058</v>
      </c>
      <c r="G398" s="3" t="s">
        <v>1276</v>
      </c>
      <c r="H398" s="3" t="s">
        <v>2048</v>
      </c>
      <c r="I398" s="3" t="s">
        <v>2049</v>
      </c>
      <c r="J398" s="3" t="s">
        <v>2050</v>
      </c>
      <c r="K398" s="0" t="n">
        <v>0</v>
      </c>
      <c r="L398" s="0" t="n">
        <v>1000</v>
      </c>
      <c r="M398" s="0" t="n">
        <v>0</v>
      </c>
      <c r="N398" s="0" t="n">
        <v>1000</v>
      </c>
      <c r="O398" s="0" t="n">
        <v>0</v>
      </c>
      <c r="P398" s="0" t="n">
        <v>1000</v>
      </c>
    </row>
    <row r="399" customFormat="false" ht="15" hidden="false" customHeight="false" outlineLevel="0" collapsed="false">
      <c r="A399" s="3" t="s">
        <v>2059</v>
      </c>
      <c r="B399" s="3" t="s">
        <v>2060</v>
      </c>
      <c r="C399" s="3" t="s">
        <v>2061</v>
      </c>
      <c r="D399" s="7" t="n">
        <v>2</v>
      </c>
      <c r="E399" s="3" t="s">
        <v>2062</v>
      </c>
      <c r="G399" s="3" t="s">
        <v>287</v>
      </c>
      <c r="H399" s="3" t="s">
        <v>2063</v>
      </c>
      <c r="I399" s="3" t="s">
        <v>2064</v>
      </c>
      <c r="J399" s="3" t="s">
        <v>2065</v>
      </c>
      <c r="K399" s="0" t="n">
        <v>-1000</v>
      </c>
      <c r="L399" s="0" t="n">
        <v>1000</v>
      </c>
      <c r="M399" s="0" t="n">
        <v>-1000</v>
      </c>
      <c r="N399" s="0" t="n">
        <v>1000</v>
      </c>
      <c r="O399" s="0" t="n">
        <v>-1000</v>
      </c>
      <c r="P399" s="0" t="n">
        <v>1000</v>
      </c>
    </row>
    <row r="400" customFormat="false" ht="15" hidden="false" customHeight="false" outlineLevel="0" collapsed="false">
      <c r="A400" s="3" t="s">
        <v>2066</v>
      </c>
      <c r="B400" s="3" t="s">
        <v>2067</v>
      </c>
      <c r="C400" s="3" t="s">
        <v>2068</v>
      </c>
      <c r="D400" s="7" t="n">
        <v>2</v>
      </c>
      <c r="E400" s="3" t="s">
        <v>2069</v>
      </c>
      <c r="G400" s="3" t="s">
        <v>287</v>
      </c>
      <c r="H400" s="3" t="s">
        <v>2070</v>
      </c>
      <c r="I400" s="3" t="s">
        <v>2071</v>
      </c>
      <c r="J400" s="3" t="s">
        <v>2072</v>
      </c>
      <c r="K400" s="0" t="n">
        <v>-1000</v>
      </c>
      <c r="L400" s="0" t="n">
        <v>1000</v>
      </c>
      <c r="M400" s="0" t="n">
        <v>-1000</v>
      </c>
      <c r="N400" s="0" t="n">
        <v>1000</v>
      </c>
      <c r="O400" s="0" t="n">
        <v>-1000</v>
      </c>
      <c r="P400" s="0" t="n">
        <v>1000</v>
      </c>
    </row>
    <row r="401" customFormat="false" ht="15" hidden="false" customHeight="false" outlineLevel="0" collapsed="false">
      <c r="A401" s="3" t="s">
        <v>2073</v>
      </c>
      <c r="B401" s="3" t="s">
        <v>2074</v>
      </c>
      <c r="C401" s="3" t="s">
        <v>2075</v>
      </c>
      <c r="D401" s="7" t="n">
        <v>1</v>
      </c>
      <c r="E401" s="3" t="s">
        <v>2076</v>
      </c>
      <c r="G401" s="3" t="s">
        <v>287</v>
      </c>
      <c r="K401" s="0" t="n">
        <v>-1000</v>
      </c>
      <c r="L401" s="0" t="n">
        <v>1000</v>
      </c>
      <c r="M401" s="0" t="n">
        <v>-1000</v>
      </c>
      <c r="N401" s="0" t="n">
        <v>1000</v>
      </c>
      <c r="O401" s="0" t="n">
        <v>-1000</v>
      </c>
      <c r="P401" s="0" t="n">
        <v>1000</v>
      </c>
    </row>
    <row r="402" customFormat="false" ht="15" hidden="false" customHeight="false" outlineLevel="0" collapsed="false">
      <c r="A402" s="3" t="s">
        <v>2077</v>
      </c>
      <c r="B402" s="3" t="s">
        <v>2078</v>
      </c>
      <c r="C402" s="3" t="s">
        <v>2079</v>
      </c>
      <c r="D402" s="7" t="n">
        <v>1</v>
      </c>
      <c r="E402" s="3" t="s">
        <v>2080</v>
      </c>
      <c r="G402" s="3" t="s">
        <v>391</v>
      </c>
      <c r="K402" s="0" t="n">
        <v>0</v>
      </c>
      <c r="L402" s="0" t="n">
        <v>1000</v>
      </c>
      <c r="M402" s="0" t="n">
        <v>0</v>
      </c>
      <c r="N402" s="0" t="n">
        <v>1000</v>
      </c>
      <c r="O402" s="0" t="n">
        <v>0</v>
      </c>
      <c r="P402" s="0" t="n">
        <v>1000</v>
      </c>
    </row>
    <row r="403" customFormat="false" ht="15" hidden="false" customHeight="false" outlineLevel="0" collapsed="false">
      <c r="A403" s="3" t="s">
        <v>2081</v>
      </c>
      <c r="C403" s="3" t="s">
        <v>2082</v>
      </c>
      <c r="D403" s="7" t="n">
        <v>2</v>
      </c>
      <c r="E403" s="3" t="s">
        <v>2083</v>
      </c>
      <c r="G403" s="3" t="s">
        <v>287</v>
      </c>
      <c r="H403" s="3" t="s">
        <v>2084</v>
      </c>
      <c r="I403" s="3" t="s">
        <v>2085</v>
      </c>
      <c r="J403" s="3" t="s">
        <v>2086</v>
      </c>
      <c r="K403" s="0" t="n">
        <v>-1000</v>
      </c>
      <c r="L403" s="0" t="n">
        <v>1000</v>
      </c>
      <c r="M403" s="0" t="n">
        <v>-1000</v>
      </c>
      <c r="N403" s="0" t="n">
        <v>1000</v>
      </c>
      <c r="O403" s="0" t="n">
        <v>-1000</v>
      </c>
      <c r="P403" s="0" t="n">
        <v>1000</v>
      </c>
    </row>
    <row r="404" customFormat="false" ht="15" hidden="false" customHeight="false" outlineLevel="0" collapsed="false">
      <c r="A404" s="3" t="s">
        <v>2087</v>
      </c>
      <c r="B404" s="3" t="s">
        <v>2088</v>
      </c>
      <c r="C404" s="3" t="s">
        <v>2089</v>
      </c>
      <c r="D404" s="7" t="n">
        <v>2</v>
      </c>
      <c r="E404" s="3" t="s">
        <v>1424</v>
      </c>
      <c r="G404" s="3" t="s">
        <v>556</v>
      </c>
      <c r="H404" s="3" t="s">
        <v>2090</v>
      </c>
      <c r="I404" s="3" t="s">
        <v>2091</v>
      </c>
      <c r="J404" s="3" t="s">
        <v>2090</v>
      </c>
      <c r="K404" s="0" t="n">
        <v>-1000</v>
      </c>
      <c r="L404" s="0" t="n">
        <v>1000</v>
      </c>
      <c r="M404" s="0" t="n">
        <v>-1000</v>
      </c>
      <c r="N404" s="0" t="n">
        <v>1000</v>
      </c>
      <c r="O404" s="0" t="n">
        <v>-1000</v>
      </c>
      <c r="P404" s="0" t="n">
        <v>1000</v>
      </c>
    </row>
    <row r="405" customFormat="false" ht="15" hidden="false" customHeight="false" outlineLevel="0" collapsed="false">
      <c r="A405" s="3" t="s">
        <v>2092</v>
      </c>
      <c r="B405" s="3" t="s">
        <v>2093</v>
      </c>
      <c r="C405" s="3" t="s">
        <v>2094</v>
      </c>
      <c r="D405" s="7" t="n">
        <v>1</v>
      </c>
      <c r="G405" s="3" t="s">
        <v>139</v>
      </c>
      <c r="K405" s="0" t="n">
        <v>-1000</v>
      </c>
      <c r="L405" s="0" t="n">
        <v>1000</v>
      </c>
      <c r="M405" s="0" t="n">
        <v>-1000</v>
      </c>
      <c r="N405" s="0" t="n">
        <v>1000</v>
      </c>
      <c r="O405" s="0" t="n">
        <v>-1000</v>
      </c>
      <c r="P405" s="0" t="n">
        <v>1000</v>
      </c>
    </row>
    <row r="406" customFormat="false" ht="15" hidden="false" customHeight="false" outlineLevel="0" collapsed="false">
      <c r="A406" s="3" t="s">
        <v>2095</v>
      </c>
      <c r="B406" s="3" t="s">
        <v>2096</v>
      </c>
      <c r="C406" s="3" t="s">
        <v>2097</v>
      </c>
      <c r="D406" s="7" t="n">
        <v>1</v>
      </c>
      <c r="G406" s="3" t="s">
        <v>143</v>
      </c>
      <c r="K406" s="0" t="n">
        <v>-1000</v>
      </c>
      <c r="L406" s="0" t="n">
        <v>1000</v>
      </c>
      <c r="M406" s="0" t="n">
        <v>-1000</v>
      </c>
      <c r="N406" s="0" t="n">
        <v>1000</v>
      </c>
      <c r="O406" s="0" t="n">
        <v>-1000</v>
      </c>
      <c r="P406" s="0" t="n">
        <v>1000</v>
      </c>
    </row>
    <row r="407" customFormat="false" ht="15" hidden="false" customHeight="false" outlineLevel="0" collapsed="false">
      <c r="A407" s="3" t="s">
        <v>2098</v>
      </c>
      <c r="B407" s="3" t="s">
        <v>2099</v>
      </c>
      <c r="C407" s="3" t="s">
        <v>2100</v>
      </c>
      <c r="D407" s="7" t="n">
        <v>1</v>
      </c>
      <c r="G407" s="3" t="s">
        <v>139</v>
      </c>
      <c r="K407" s="0" t="n">
        <v>-1000</v>
      </c>
      <c r="L407" s="0" t="n">
        <v>1000</v>
      </c>
      <c r="M407" s="0" t="n">
        <v>-1000</v>
      </c>
      <c r="N407" s="0" t="n">
        <v>1000</v>
      </c>
      <c r="O407" s="0" t="n">
        <v>-1000</v>
      </c>
      <c r="P407" s="0" t="n">
        <v>1000</v>
      </c>
    </row>
    <row r="408" customFormat="false" ht="15" hidden="false" customHeight="false" outlineLevel="0" collapsed="false">
      <c r="A408" s="3" t="s">
        <v>2101</v>
      </c>
      <c r="B408" s="3" t="s">
        <v>2102</v>
      </c>
      <c r="C408" s="3" t="s">
        <v>2103</v>
      </c>
      <c r="D408" s="7" t="n">
        <v>1</v>
      </c>
      <c r="F408" s="7" t="n">
        <v>19077236</v>
      </c>
      <c r="G408" s="3" t="s">
        <v>143</v>
      </c>
      <c r="K408" s="0" t="n">
        <v>0</v>
      </c>
      <c r="L408" s="0" t="n">
        <v>1000</v>
      </c>
      <c r="M408" s="0" t="n">
        <v>0</v>
      </c>
      <c r="N408" s="0" t="n">
        <v>1000</v>
      </c>
      <c r="O408" s="0" t="n">
        <v>0</v>
      </c>
      <c r="P408" s="0" t="n">
        <v>1000</v>
      </c>
    </row>
    <row r="409" customFormat="false" ht="15" hidden="false" customHeight="false" outlineLevel="0" collapsed="false">
      <c r="A409" s="3" t="s">
        <v>2104</v>
      </c>
      <c r="B409" s="3" t="s">
        <v>2105</v>
      </c>
      <c r="C409" s="3" t="s">
        <v>2106</v>
      </c>
      <c r="D409" s="7" t="n">
        <v>3</v>
      </c>
      <c r="E409" s="3" t="s">
        <v>2107</v>
      </c>
      <c r="F409" s="7" t="n">
        <v>19703284</v>
      </c>
      <c r="G409" s="3" t="s">
        <v>544</v>
      </c>
      <c r="H409" s="3" t="s">
        <v>2108</v>
      </c>
      <c r="I409" s="3" t="s">
        <v>2109</v>
      </c>
      <c r="J409" s="3" t="s">
        <v>2110</v>
      </c>
      <c r="K409" s="0" t="n">
        <v>0</v>
      </c>
      <c r="L409" s="0" t="n">
        <v>1000</v>
      </c>
      <c r="M409" s="0" t="n">
        <v>0</v>
      </c>
      <c r="N409" s="0" t="n">
        <v>1000</v>
      </c>
      <c r="O409" s="0" t="n">
        <v>0</v>
      </c>
      <c r="P409" s="0" t="n">
        <v>1000</v>
      </c>
    </row>
    <row r="410" customFormat="false" ht="15" hidden="false" customHeight="false" outlineLevel="0" collapsed="false">
      <c r="A410" s="3" t="s">
        <v>2111</v>
      </c>
      <c r="B410" s="3" t="s">
        <v>2112</v>
      </c>
      <c r="C410" s="3" t="s">
        <v>2113</v>
      </c>
      <c r="D410" s="7" t="n">
        <v>2</v>
      </c>
      <c r="E410" s="3" t="s">
        <v>2114</v>
      </c>
      <c r="G410" s="3" t="s">
        <v>2115</v>
      </c>
      <c r="H410" s="3" t="s">
        <v>2116</v>
      </c>
      <c r="I410" s="3" t="s">
        <v>2117</v>
      </c>
      <c r="J410" s="3" t="s">
        <v>2118</v>
      </c>
      <c r="K410" s="0" t="n">
        <v>0</v>
      </c>
      <c r="L410" s="0" t="n">
        <v>1000</v>
      </c>
      <c r="M410" s="0" t="n">
        <v>0</v>
      </c>
      <c r="N410" s="0" t="n">
        <v>1000</v>
      </c>
      <c r="O410" s="0" t="n">
        <v>0</v>
      </c>
      <c r="P410" s="0" t="n">
        <v>1000</v>
      </c>
    </row>
    <row r="411" customFormat="false" ht="15" hidden="false" customHeight="false" outlineLevel="0" collapsed="false">
      <c r="A411" s="3" t="s">
        <v>2119</v>
      </c>
      <c r="B411" s="3" t="s">
        <v>2120</v>
      </c>
      <c r="C411" s="3" t="s">
        <v>2121</v>
      </c>
      <c r="D411" s="7" t="n">
        <v>2</v>
      </c>
      <c r="E411" s="3" t="s">
        <v>2122</v>
      </c>
      <c r="G411" s="3" t="s">
        <v>2123</v>
      </c>
      <c r="H411" s="3" t="s">
        <v>2124</v>
      </c>
      <c r="I411" s="3" t="s">
        <v>2125</v>
      </c>
      <c r="J411" s="3" t="s">
        <v>2126</v>
      </c>
      <c r="K411" s="0" t="n">
        <v>0</v>
      </c>
      <c r="L411" s="0" t="n">
        <v>1000</v>
      </c>
      <c r="M411" s="0" t="n">
        <v>0</v>
      </c>
      <c r="N411" s="0" t="n">
        <v>1000</v>
      </c>
      <c r="O411" s="0" t="n">
        <v>0</v>
      </c>
      <c r="P411" s="0" t="n">
        <v>1000</v>
      </c>
    </row>
    <row r="412" customFormat="false" ht="15" hidden="false" customHeight="false" outlineLevel="0" collapsed="false">
      <c r="A412" s="3" t="s">
        <v>2127</v>
      </c>
      <c r="B412" s="3" t="s">
        <v>2128</v>
      </c>
      <c r="C412" s="3" t="s">
        <v>2129</v>
      </c>
      <c r="D412" s="7" t="n">
        <v>2</v>
      </c>
      <c r="E412" s="3" t="s">
        <v>2130</v>
      </c>
      <c r="G412" s="3" t="s">
        <v>516</v>
      </c>
      <c r="H412" s="3" t="s">
        <v>2131</v>
      </c>
      <c r="I412" s="3" t="s">
        <v>2132</v>
      </c>
      <c r="J412" s="3" t="s">
        <v>2133</v>
      </c>
      <c r="K412" s="0" t="n">
        <v>0</v>
      </c>
      <c r="L412" s="0" t="n">
        <v>1000</v>
      </c>
      <c r="M412" s="0" t="n">
        <v>0</v>
      </c>
      <c r="N412" s="0" t="n">
        <v>1000</v>
      </c>
      <c r="O412" s="0" t="n">
        <v>0</v>
      </c>
      <c r="P412" s="0" t="n">
        <v>1000</v>
      </c>
    </row>
    <row r="413" customFormat="false" ht="15" hidden="false" customHeight="false" outlineLevel="0" collapsed="false">
      <c r="A413" s="3" t="s">
        <v>2134</v>
      </c>
      <c r="B413" s="3" t="s">
        <v>2135</v>
      </c>
      <c r="C413" s="3" t="s">
        <v>2136</v>
      </c>
      <c r="D413" s="7" t="n">
        <v>2</v>
      </c>
      <c r="E413" s="3" t="s">
        <v>2137</v>
      </c>
      <c r="G413" s="3" t="s">
        <v>516</v>
      </c>
      <c r="H413" s="3" t="s">
        <v>2131</v>
      </c>
      <c r="I413" s="3" t="s">
        <v>2132</v>
      </c>
      <c r="J413" s="3" t="s">
        <v>2133</v>
      </c>
      <c r="K413" s="0" t="n">
        <v>0</v>
      </c>
      <c r="L413" s="0" t="n">
        <v>1000</v>
      </c>
      <c r="M413" s="0" t="n">
        <v>0</v>
      </c>
      <c r="N413" s="0" t="n">
        <v>1000</v>
      </c>
      <c r="O413" s="0" t="n">
        <v>0</v>
      </c>
      <c r="P413" s="0" t="n">
        <v>1000</v>
      </c>
    </row>
    <row r="414" customFormat="false" ht="15" hidden="false" customHeight="false" outlineLevel="0" collapsed="false">
      <c r="A414" s="3" t="s">
        <v>2138</v>
      </c>
      <c r="B414" s="3" t="s">
        <v>2139</v>
      </c>
      <c r="C414" s="3" t="s">
        <v>2140</v>
      </c>
      <c r="D414" s="7" t="n">
        <v>1</v>
      </c>
      <c r="G414" s="3" t="s">
        <v>544</v>
      </c>
      <c r="K414" s="0" t="n">
        <v>0</v>
      </c>
      <c r="L414" s="0" t="n">
        <v>1000</v>
      </c>
      <c r="M414" s="0" t="n">
        <v>0</v>
      </c>
      <c r="N414" s="0" t="n">
        <v>1000</v>
      </c>
      <c r="O414" s="0" t="n">
        <v>0</v>
      </c>
      <c r="P414" s="0" t="n">
        <v>1000</v>
      </c>
    </row>
    <row r="415" customFormat="false" ht="15" hidden="false" customHeight="false" outlineLevel="0" collapsed="false">
      <c r="A415" s="3" t="s">
        <v>2141</v>
      </c>
      <c r="B415" s="3" t="s">
        <v>2142</v>
      </c>
      <c r="C415" s="3" t="s">
        <v>2143</v>
      </c>
      <c r="D415" s="7" t="n">
        <v>2</v>
      </c>
      <c r="E415" s="3" t="s">
        <v>2144</v>
      </c>
      <c r="G415" s="3" t="s">
        <v>251</v>
      </c>
      <c r="H415" s="3" t="s">
        <v>2145</v>
      </c>
      <c r="I415" s="3" t="s">
        <v>2146</v>
      </c>
      <c r="J415" s="3" t="s">
        <v>2147</v>
      </c>
      <c r="K415" s="0" t="n">
        <v>-1000</v>
      </c>
      <c r="L415" s="0" t="n">
        <v>1000</v>
      </c>
      <c r="M415" s="0" t="n">
        <v>-1000</v>
      </c>
      <c r="N415" s="0" t="n">
        <v>1000</v>
      </c>
      <c r="O415" s="0" t="n">
        <v>-1000</v>
      </c>
      <c r="P415" s="0" t="n">
        <v>1000</v>
      </c>
    </row>
    <row r="416" customFormat="false" ht="15" hidden="false" customHeight="false" outlineLevel="0" collapsed="false">
      <c r="A416" s="3" t="s">
        <v>2148</v>
      </c>
      <c r="B416" s="3" t="s">
        <v>2149</v>
      </c>
      <c r="C416" s="3" t="s">
        <v>2150</v>
      </c>
      <c r="D416" s="7" t="n">
        <v>2</v>
      </c>
      <c r="E416" s="3" t="s">
        <v>2144</v>
      </c>
      <c r="G416" s="3" t="s">
        <v>251</v>
      </c>
      <c r="H416" s="3" t="s">
        <v>2145</v>
      </c>
      <c r="I416" s="3" t="s">
        <v>2146</v>
      </c>
      <c r="J416" s="3" t="s">
        <v>2147</v>
      </c>
      <c r="K416" s="0" t="n">
        <v>-1000</v>
      </c>
      <c r="L416" s="0" t="n">
        <v>1000</v>
      </c>
      <c r="M416" s="0" t="n">
        <v>-1000</v>
      </c>
      <c r="N416" s="0" t="n">
        <v>1000</v>
      </c>
      <c r="O416" s="0" t="n">
        <v>-1000</v>
      </c>
      <c r="P416" s="0" t="n">
        <v>1000</v>
      </c>
    </row>
    <row r="417" customFormat="false" ht="15" hidden="false" customHeight="false" outlineLevel="0" collapsed="false">
      <c r="A417" s="3" t="s">
        <v>2151</v>
      </c>
      <c r="B417" s="3" t="s">
        <v>2152</v>
      </c>
      <c r="C417" s="3" t="s">
        <v>2153</v>
      </c>
      <c r="D417" s="7" t="n">
        <v>2</v>
      </c>
      <c r="E417" s="3" t="s">
        <v>2144</v>
      </c>
      <c r="G417" s="3" t="s">
        <v>251</v>
      </c>
      <c r="H417" s="3" t="s">
        <v>2145</v>
      </c>
      <c r="I417" s="3" t="s">
        <v>2146</v>
      </c>
      <c r="J417" s="3" t="s">
        <v>2147</v>
      </c>
      <c r="K417" s="0" t="n">
        <v>-1000</v>
      </c>
      <c r="L417" s="0" t="n">
        <v>1000</v>
      </c>
      <c r="M417" s="0" t="n">
        <v>-1000</v>
      </c>
      <c r="N417" s="0" t="n">
        <v>1000</v>
      </c>
      <c r="O417" s="0" t="n">
        <v>-1000</v>
      </c>
      <c r="P417" s="0" t="n">
        <v>1000</v>
      </c>
    </row>
    <row r="418" customFormat="false" ht="15" hidden="false" customHeight="false" outlineLevel="0" collapsed="false">
      <c r="A418" s="3" t="s">
        <v>2154</v>
      </c>
      <c r="B418" s="3" t="s">
        <v>2155</v>
      </c>
      <c r="C418" s="3" t="s">
        <v>2156</v>
      </c>
      <c r="D418" s="7" t="n">
        <v>2</v>
      </c>
      <c r="E418" s="3" t="s">
        <v>2144</v>
      </c>
      <c r="G418" s="3" t="s">
        <v>251</v>
      </c>
      <c r="H418" s="3" t="s">
        <v>2145</v>
      </c>
      <c r="I418" s="3" t="s">
        <v>2146</v>
      </c>
      <c r="J418" s="3" t="s">
        <v>2147</v>
      </c>
      <c r="K418" s="0" t="n">
        <v>-1000</v>
      </c>
      <c r="L418" s="0" t="n">
        <v>1000</v>
      </c>
      <c r="M418" s="0" t="n">
        <v>-1000</v>
      </c>
      <c r="N418" s="0" t="n">
        <v>1000</v>
      </c>
      <c r="O418" s="0" t="n">
        <v>-1000</v>
      </c>
      <c r="P418" s="0" t="n">
        <v>1000</v>
      </c>
    </row>
    <row r="419" customFormat="false" ht="15" hidden="false" customHeight="false" outlineLevel="0" collapsed="false">
      <c r="A419" s="3" t="s">
        <v>2157</v>
      </c>
      <c r="B419" s="3" t="s">
        <v>2158</v>
      </c>
      <c r="C419" s="3" t="s">
        <v>2159</v>
      </c>
      <c r="D419" s="7" t="n">
        <v>2</v>
      </c>
      <c r="E419" s="3" t="s">
        <v>2144</v>
      </c>
      <c r="G419" s="3" t="s">
        <v>251</v>
      </c>
      <c r="H419" s="3" t="s">
        <v>2145</v>
      </c>
      <c r="I419" s="3" t="s">
        <v>2146</v>
      </c>
      <c r="J419" s="3" t="s">
        <v>2147</v>
      </c>
      <c r="K419" s="0" t="n">
        <v>-1000</v>
      </c>
      <c r="L419" s="0" t="n">
        <v>1000</v>
      </c>
      <c r="M419" s="0" t="n">
        <v>-1000</v>
      </c>
      <c r="N419" s="0" t="n">
        <v>1000</v>
      </c>
      <c r="O419" s="0" t="n">
        <v>-1000</v>
      </c>
      <c r="P419" s="0" t="n">
        <v>1000</v>
      </c>
    </row>
    <row r="420" customFormat="false" ht="15" hidden="false" customHeight="false" outlineLevel="0" collapsed="false">
      <c r="A420" s="3" t="s">
        <v>2160</v>
      </c>
      <c r="B420" s="3" t="s">
        <v>2161</v>
      </c>
      <c r="C420" s="3" t="s">
        <v>2162</v>
      </c>
      <c r="D420" s="7" t="n">
        <v>2</v>
      </c>
      <c r="E420" s="3" t="s">
        <v>2144</v>
      </c>
      <c r="G420" s="3" t="s">
        <v>251</v>
      </c>
      <c r="H420" s="3" t="s">
        <v>2145</v>
      </c>
      <c r="I420" s="3" t="s">
        <v>2146</v>
      </c>
      <c r="J420" s="3" t="s">
        <v>2147</v>
      </c>
      <c r="K420" s="0" t="n">
        <v>-1000</v>
      </c>
      <c r="L420" s="0" t="n">
        <v>1000</v>
      </c>
      <c r="M420" s="0" t="n">
        <v>-1000</v>
      </c>
      <c r="N420" s="0" t="n">
        <v>1000</v>
      </c>
      <c r="O420" s="0" t="n">
        <v>-1000</v>
      </c>
      <c r="P420" s="0" t="n">
        <v>1000</v>
      </c>
    </row>
    <row r="421" customFormat="false" ht="15" hidden="false" customHeight="false" outlineLevel="0" collapsed="false">
      <c r="A421" s="3" t="s">
        <v>2163</v>
      </c>
      <c r="B421" s="3" t="s">
        <v>2164</v>
      </c>
      <c r="C421" s="3" t="s">
        <v>2165</v>
      </c>
      <c r="D421" s="7" t="n">
        <v>2</v>
      </c>
      <c r="E421" s="3" t="s">
        <v>2144</v>
      </c>
      <c r="G421" s="3" t="s">
        <v>251</v>
      </c>
      <c r="H421" s="3" t="s">
        <v>2145</v>
      </c>
      <c r="I421" s="3" t="s">
        <v>2146</v>
      </c>
      <c r="J421" s="3" t="s">
        <v>2147</v>
      </c>
      <c r="K421" s="0" t="n">
        <v>-1000</v>
      </c>
      <c r="L421" s="0" t="n">
        <v>1000</v>
      </c>
      <c r="M421" s="0" t="n">
        <v>-1000</v>
      </c>
      <c r="N421" s="0" t="n">
        <v>1000</v>
      </c>
      <c r="O421" s="0" t="n">
        <v>-1000</v>
      </c>
      <c r="P421" s="0" t="n">
        <v>1000</v>
      </c>
    </row>
    <row r="422" customFormat="false" ht="15" hidden="false" customHeight="false" outlineLevel="0" collapsed="false">
      <c r="A422" s="3" t="s">
        <v>2166</v>
      </c>
      <c r="B422" s="3" t="s">
        <v>2167</v>
      </c>
      <c r="C422" s="3" t="s">
        <v>2168</v>
      </c>
      <c r="D422" s="7" t="n">
        <v>2</v>
      </c>
      <c r="E422" s="3" t="s">
        <v>2144</v>
      </c>
      <c r="G422" s="3" t="s">
        <v>251</v>
      </c>
      <c r="H422" s="3" t="s">
        <v>2145</v>
      </c>
      <c r="I422" s="3" t="s">
        <v>2146</v>
      </c>
      <c r="J422" s="3" t="s">
        <v>2147</v>
      </c>
      <c r="K422" s="0" t="n">
        <v>-1000</v>
      </c>
      <c r="L422" s="0" t="n">
        <v>1000</v>
      </c>
      <c r="M422" s="0" t="n">
        <v>-1000</v>
      </c>
      <c r="N422" s="0" t="n">
        <v>1000</v>
      </c>
      <c r="O422" s="0" t="n">
        <v>-1000</v>
      </c>
      <c r="P422" s="0" t="n">
        <v>1000</v>
      </c>
    </row>
    <row r="423" customFormat="false" ht="15" hidden="false" customHeight="false" outlineLevel="0" collapsed="false">
      <c r="A423" s="3" t="s">
        <v>2169</v>
      </c>
      <c r="B423" s="3" t="s">
        <v>2170</v>
      </c>
      <c r="C423" s="3" t="s">
        <v>2171</v>
      </c>
      <c r="D423" s="7" t="n">
        <v>2</v>
      </c>
      <c r="F423" s="7" t="n">
        <v>19077236</v>
      </c>
      <c r="G423" s="3" t="s">
        <v>143</v>
      </c>
      <c r="H423" s="3" t="s">
        <v>2172</v>
      </c>
      <c r="I423" s="3" t="s">
        <v>2173</v>
      </c>
      <c r="J423" s="3" t="s">
        <v>2174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3" t="s">
        <v>2175</v>
      </c>
      <c r="B424" s="3" t="s">
        <v>2176</v>
      </c>
      <c r="C424" s="3" t="s">
        <v>2177</v>
      </c>
      <c r="D424" s="7" t="n">
        <v>1</v>
      </c>
      <c r="G424" s="3" t="s">
        <v>139</v>
      </c>
      <c r="K424" s="0" t="n">
        <v>-1000</v>
      </c>
      <c r="L424" s="0" t="n">
        <v>1000</v>
      </c>
      <c r="M424" s="0" t="n">
        <v>-1000</v>
      </c>
      <c r="N424" s="0" t="n">
        <v>1000</v>
      </c>
      <c r="O424" s="0" t="n">
        <v>-1000</v>
      </c>
      <c r="P424" s="0" t="n">
        <v>1000</v>
      </c>
    </row>
    <row r="425" customFormat="false" ht="15" hidden="false" customHeight="false" outlineLevel="0" collapsed="false">
      <c r="A425" s="3" t="s">
        <v>2178</v>
      </c>
      <c r="B425" s="3" t="s">
        <v>2179</v>
      </c>
      <c r="C425" s="3" t="s">
        <v>2180</v>
      </c>
      <c r="D425" s="7" t="n">
        <v>3</v>
      </c>
      <c r="E425" s="3" t="s">
        <v>2181</v>
      </c>
      <c r="F425" s="15" t="s">
        <v>2182</v>
      </c>
      <c r="G425" s="3" t="s">
        <v>2183</v>
      </c>
      <c r="H425" s="3" t="s">
        <v>2184</v>
      </c>
      <c r="I425" s="3" t="s">
        <v>2185</v>
      </c>
      <c r="J425" s="3" t="s">
        <v>2186</v>
      </c>
      <c r="K425" s="0" t="n">
        <v>0</v>
      </c>
      <c r="L425" s="0" t="n">
        <v>1000</v>
      </c>
      <c r="M425" s="0" t="n">
        <v>0</v>
      </c>
      <c r="N425" s="0" t="n">
        <v>1000</v>
      </c>
      <c r="O425" s="0" t="n">
        <v>0</v>
      </c>
      <c r="P425" s="0" t="n">
        <v>1000</v>
      </c>
    </row>
    <row r="426" customFormat="false" ht="15" hidden="false" customHeight="false" outlineLevel="0" collapsed="false">
      <c r="A426" s="3" t="s">
        <v>2187</v>
      </c>
      <c r="B426" s="3" t="s">
        <v>2188</v>
      </c>
      <c r="C426" s="3" t="s">
        <v>2189</v>
      </c>
      <c r="D426" s="7" t="n">
        <v>2</v>
      </c>
      <c r="E426" s="3" t="s">
        <v>2190</v>
      </c>
      <c r="G426" s="3" t="s">
        <v>516</v>
      </c>
      <c r="H426" s="3" t="s">
        <v>2191</v>
      </c>
      <c r="I426" s="3" t="s">
        <v>2192</v>
      </c>
      <c r="J426" s="3" t="s">
        <v>2193</v>
      </c>
      <c r="K426" s="0" t="n">
        <v>-1000</v>
      </c>
      <c r="L426" s="0" t="n">
        <v>1000</v>
      </c>
      <c r="M426" s="0" t="n">
        <v>-1000</v>
      </c>
      <c r="N426" s="0" t="n">
        <v>1000</v>
      </c>
      <c r="O426" s="0" t="n">
        <v>-1000</v>
      </c>
      <c r="P426" s="0" t="n">
        <v>1000</v>
      </c>
    </row>
    <row r="427" customFormat="false" ht="15" hidden="false" customHeight="false" outlineLevel="0" collapsed="false">
      <c r="A427" s="3" t="s">
        <v>2194</v>
      </c>
      <c r="B427" s="3" t="s">
        <v>2195</v>
      </c>
      <c r="C427" s="3" t="s">
        <v>2196</v>
      </c>
      <c r="D427" s="7" t="n">
        <v>2</v>
      </c>
      <c r="E427" s="3" t="s">
        <v>2197</v>
      </c>
      <c r="G427" s="3" t="s">
        <v>516</v>
      </c>
      <c r="H427" s="3" t="s">
        <v>2198</v>
      </c>
      <c r="I427" s="3" t="s">
        <v>2199</v>
      </c>
      <c r="J427" s="3" t="s">
        <v>2200</v>
      </c>
      <c r="K427" s="0" t="n">
        <v>-1000</v>
      </c>
      <c r="L427" s="0" t="n">
        <v>1000</v>
      </c>
      <c r="M427" s="0" t="n">
        <v>-1000</v>
      </c>
      <c r="N427" s="0" t="n">
        <v>1000</v>
      </c>
      <c r="O427" s="0" t="n">
        <v>-1000</v>
      </c>
      <c r="P427" s="0" t="n">
        <v>1000</v>
      </c>
    </row>
    <row r="428" customFormat="false" ht="15" hidden="false" customHeight="false" outlineLevel="0" collapsed="false">
      <c r="A428" s="3" t="s">
        <v>2201</v>
      </c>
      <c r="B428" s="3" t="s">
        <v>2202</v>
      </c>
      <c r="C428" s="3" t="s">
        <v>2203</v>
      </c>
      <c r="D428" s="7" t="n">
        <v>2</v>
      </c>
      <c r="E428" s="3" t="s">
        <v>2204</v>
      </c>
      <c r="G428" s="3" t="s">
        <v>251</v>
      </c>
      <c r="H428" s="3" t="s">
        <v>2205</v>
      </c>
      <c r="I428" s="3" t="s">
        <v>2206</v>
      </c>
      <c r="J428" s="3" t="s">
        <v>2205</v>
      </c>
      <c r="K428" s="0" t="n">
        <v>0</v>
      </c>
      <c r="L428" s="0" t="n">
        <v>1000</v>
      </c>
      <c r="M428" s="0" t="n">
        <v>0</v>
      </c>
      <c r="N428" s="0" t="n">
        <v>1000</v>
      </c>
      <c r="O428" s="0" t="n">
        <v>0</v>
      </c>
      <c r="P428" s="0" t="n">
        <v>1000</v>
      </c>
    </row>
    <row r="429" customFormat="false" ht="15" hidden="false" customHeight="false" outlineLevel="0" collapsed="false">
      <c r="A429" s="3" t="s">
        <v>2207</v>
      </c>
      <c r="B429" s="3" t="s">
        <v>2208</v>
      </c>
      <c r="C429" s="3" t="s">
        <v>2209</v>
      </c>
      <c r="D429" s="7" t="n">
        <v>1</v>
      </c>
      <c r="G429" s="3" t="s">
        <v>139</v>
      </c>
      <c r="K429" s="0" t="n">
        <v>-1000</v>
      </c>
      <c r="L429" s="0" t="n">
        <v>1000</v>
      </c>
      <c r="M429" s="0" t="n">
        <v>-1000</v>
      </c>
      <c r="N429" s="0" t="n">
        <v>1000</v>
      </c>
      <c r="O429" s="0" t="n">
        <v>-1000</v>
      </c>
      <c r="P429" s="0" t="n">
        <v>1000</v>
      </c>
    </row>
    <row r="430" customFormat="false" ht="15" hidden="false" customHeight="false" outlineLevel="0" collapsed="false">
      <c r="A430" s="3" t="s">
        <v>2210</v>
      </c>
      <c r="B430" s="3" t="s">
        <v>2211</v>
      </c>
      <c r="C430" s="3" t="s">
        <v>2212</v>
      </c>
      <c r="D430" s="7" t="n">
        <v>1</v>
      </c>
      <c r="G430" s="3" t="s">
        <v>143</v>
      </c>
      <c r="K430" s="0" t="n">
        <v>-1000</v>
      </c>
      <c r="L430" s="0" t="n">
        <v>1000</v>
      </c>
      <c r="M430" s="0" t="n">
        <v>-1000</v>
      </c>
      <c r="N430" s="0" t="n">
        <v>1000</v>
      </c>
      <c r="O430" s="0" t="n">
        <v>-1000</v>
      </c>
      <c r="P430" s="0" t="n">
        <v>1000</v>
      </c>
    </row>
    <row r="431" customFormat="false" ht="15" hidden="false" customHeight="false" outlineLevel="0" collapsed="false">
      <c r="A431" s="3" t="s">
        <v>2213</v>
      </c>
      <c r="B431" s="3" t="s">
        <v>2214</v>
      </c>
      <c r="C431" s="3" t="s">
        <v>2215</v>
      </c>
      <c r="D431" s="7" t="n">
        <v>2</v>
      </c>
      <c r="E431" s="3" t="s">
        <v>2216</v>
      </c>
      <c r="G431" s="3" t="s">
        <v>177</v>
      </c>
      <c r="H431" s="3" t="s">
        <v>2217</v>
      </c>
      <c r="I431" s="3" t="s">
        <v>2218</v>
      </c>
      <c r="J431" s="3" t="s">
        <v>2219</v>
      </c>
      <c r="K431" s="0" t="n">
        <v>-1000</v>
      </c>
      <c r="L431" s="0" t="n">
        <v>1000</v>
      </c>
      <c r="M431" s="0" t="n">
        <v>-1000</v>
      </c>
      <c r="N431" s="0" t="n">
        <v>1000</v>
      </c>
      <c r="O431" s="0" t="n">
        <v>-1000</v>
      </c>
      <c r="P431" s="0" t="n">
        <v>1000</v>
      </c>
    </row>
    <row r="432" customFormat="false" ht="15" hidden="false" customHeight="false" outlineLevel="0" collapsed="false">
      <c r="A432" s="3" t="s">
        <v>2220</v>
      </c>
      <c r="B432" s="3" t="s">
        <v>2221</v>
      </c>
      <c r="C432" s="3" t="s">
        <v>2222</v>
      </c>
      <c r="D432" s="7" t="n">
        <v>2</v>
      </c>
      <c r="E432" s="3" t="s">
        <v>2223</v>
      </c>
      <c r="G432" s="3" t="s">
        <v>230</v>
      </c>
      <c r="H432" s="3" t="s">
        <v>2224</v>
      </c>
      <c r="I432" s="3" t="s">
        <v>2225</v>
      </c>
      <c r="J432" s="3" t="s">
        <v>2226</v>
      </c>
      <c r="K432" s="0" t="n">
        <v>0</v>
      </c>
      <c r="L432" s="0" t="n">
        <v>1000</v>
      </c>
      <c r="M432" s="0" t="n">
        <v>0</v>
      </c>
      <c r="N432" s="0" t="n">
        <v>1000</v>
      </c>
      <c r="O432" s="0" t="n">
        <v>0</v>
      </c>
      <c r="P432" s="0" t="n">
        <v>1000</v>
      </c>
    </row>
    <row r="433" customFormat="false" ht="15" hidden="false" customHeight="false" outlineLevel="0" collapsed="false">
      <c r="A433" s="3" t="s">
        <v>2227</v>
      </c>
      <c r="B433" s="3" t="s">
        <v>2228</v>
      </c>
      <c r="C433" s="3" t="s">
        <v>2229</v>
      </c>
      <c r="D433" s="7" t="n">
        <v>2</v>
      </c>
      <c r="E433" s="3" t="s">
        <v>2230</v>
      </c>
      <c r="G433" s="3" t="s">
        <v>230</v>
      </c>
      <c r="H433" s="3" t="s">
        <v>2231</v>
      </c>
      <c r="I433" s="3" t="s">
        <v>2232</v>
      </c>
      <c r="J433" s="3" t="s">
        <v>2233</v>
      </c>
      <c r="K433" s="0" t="n">
        <v>-1000</v>
      </c>
      <c r="L433" s="0" t="n">
        <v>1000</v>
      </c>
      <c r="M433" s="0" t="n">
        <v>-1000</v>
      </c>
      <c r="N433" s="0" t="n">
        <v>1000</v>
      </c>
      <c r="O433" s="0" t="n">
        <v>-1000</v>
      </c>
      <c r="P433" s="0" t="n">
        <v>1000</v>
      </c>
    </row>
    <row r="434" customFormat="false" ht="15" hidden="false" customHeight="false" outlineLevel="0" collapsed="false">
      <c r="A434" s="3" t="s">
        <v>2234</v>
      </c>
      <c r="B434" s="3" t="s">
        <v>2235</v>
      </c>
      <c r="C434" s="3" t="s">
        <v>2236</v>
      </c>
      <c r="D434" s="7" t="n">
        <v>2</v>
      </c>
      <c r="G434" s="3" t="s">
        <v>1047</v>
      </c>
      <c r="H434" s="3" t="s">
        <v>1048</v>
      </c>
      <c r="I434" s="3" t="s">
        <v>1049</v>
      </c>
      <c r="J434" s="3" t="s">
        <v>1050</v>
      </c>
      <c r="K434" s="0" t="n">
        <v>-1000</v>
      </c>
      <c r="L434" s="0" t="n">
        <v>1000</v>
      </c>
      <c r="M434" s="0" t="n">
        <v>-1000</v>
      </c>
      <c r="N434" s="0" t="n">
        <v>1000</v>
      </c>
      <c r="O434" s="0" t="n">
        <v>-1000</v>
      </c>
      <c r="P434" s="0" t="n">
        <v>1000</v>
      </c>
    </row>
    <row r="435" customFormat="false" ht="15" hidden="false" customHeight="false" outlineLevel="0" collapsed="false">
      <c r="A435" s="3" t="s">
        <v>2237</v>
      </c>
      <c r="B435" s="3" t="s">
        <v>2238</v>
      </c>
      <c r="C435" s="3" t="s">
        <v>2239</v>
      </c>
      <c r="D435" s="7" t="n">
        <v>2</v>
      </c>
      <c r="E435" s="3" t="s">
        <v>2240</v>
      </c>
      <c r="G435" s="3" t="s">
        <v>1047</v>
      </c>
      <c r="H435" s="3" t="s">
        <v>2241</v>
      </c>
      <c r="I435" s="3" t="s">
        <v>2242</v>
      </c>
      <c r="J435" s="3" t="s">
        <v>2241</v>
      </c>
      <c r="K435" s="0" t="n">
        <v>-1000</v>
      </c>
      <c r="L435" s="0" t="n">
        <v>1000</v>
      </c>
      <c r="M435" s="0" t="n">
        <v>-1000</v>
      </c>
      <c r="N435" s="0" t="n">
        <v>1000</v>
      </c>
      <c r="O435" s="0" t="n">
        <v>-1000</v>
      </c>
      <c r="P435" s="0" t="n">
        <v>1000</v>
      </c>
    </row>
    <row r="436" customFormat="false" ht="15" hidden="false" customHeight="false" outlineLevel="0" collapsed="false">
      <c r="A436" s="3" t="s">
        <v>2243</v>
      </c>
      <c r="B436" s="3" t="s">
        <v>2244</v>
      </c>
      <c r="C436" s="3" t="s">
        <v>2245</v>
      </c>
      <c r="D436" s="7" t="n">
        <v>1</v>
      </c>
      <c r="G436" s="3" t="s">
        <v>192</v>
      </c>
      <c r="K436" s="0" t="n">
        <v>-1000</v>
      </c>
      <c r="L436" s="0" t="n">
        <v>1000</v>
      </c>
      <c r="M436" s="0" t="n">
        <v>-1000</v>
      </c>
      <c r="N436" s="0" t="n">
        <v>1000</v>
      </c>
      <c r="O436" s="0" t="n">
        <v>-1000</v>
      </c>
      <c r="P436" s="0" t="n">
        <v>1000</v>
      </c>
    </row>
    <row r="437" customFormat="false" ht="15" hidden="false" customHeight="false" outlineLevel="0" collapsed="false">
      <c r="A437" s="3" t="s">
        <v>2246</v>
      </c>
      <c r="B437" s="3" t="s">
        <v>2247</v>
      </c>
      <c r="C437" s="3" t="s">
        <v>2248</v>
      </c>
      <c r="D437" s="7" t="n">
        <v>2</v>
      </c>
      <c r="E437" s="3" t="s">
        <v>2249</v>
      </c>
      <c r="G437" s="3" t="s">
        <v>1047</v>
      </c>
      <c r="K437" s="0" t="n">
        <v>0</v>
      </c>
      <c r="L437" s="0" t="n">
        <v>1000</v>
      </c>
      <c r="M437" s="0" t="n">
        <v>0</v>
      </c>
      <c r="N437" s="0" t="n">
        <v>1000</v>
      </c>
      <c r="O437" s="0" t="n">
        <v>0</v>
      </c>
      <c r="P437" s="0" t="n">
        <v>1000</v>
      </c>
    </row>
    <row r="438" customFormat="false" ht="15" hidden="false" customHeight="false" outlineLevel="0" collapsed="false">
      <c r="A438" s="3" t="s">
        <v>2250</v>
      </c>
      <c r="B438" s="3" t="s">
        <v>2251</v>
      </c>
      <c r="C438" s="3" t="s">
        <v>2252</v>
      </c>
      <c r="D438" s="7" t="n">
        <v>2</v>
      </c>
      <c r="E438" s="3" t="s">
        <v>2253</v>
      </c>
      <c r="G438" s="3" t="s">
        <v>308</v>
      </c>
      <c r="H438" s="3" t="s">
        <v>2254</v>
      </c>
      <c r="I438" s="3" t="s">
        <v>2255</v>
      </c>
      <c r="J438" s="3" t="s">
        <v>2256</v>
      </c>
      <c r="K438" s="0" t="n">
        <v>0</v>
      </c>
      <c r="L438" s="0" t="n">
        <v>1000</v>
      </c>
      <c r="M438" s="0" t="n">
        <v>0</v>
      </c>
      <c r="N438" s="0" t="n">
        <v>1000</v>
      </c>
      <c r="O438" s="0" t="n">
        <v>0</v>
      </c>
      <c r="P438" s="0" t="n">
        <v>1000</v>
      </c>
    </row>
    <row r="439" customFormat="false" ht="15" hidden="false" customHeight="false" outlineLevel="0" collapsed="false">
      <c r="A439" s="3" t="s">
        <v>2257</v>
      </c>
      <c r="B439" s="3" t="s">
        <v>2258</v>
      </c>
      <c r="C439" s="3" t="s">
        <v>2259</v>
      </c>
      <c r="D439" s="7" t="n">
        <v>2</v>
      </c>
      <c r="E439" s="3" t="s">
        <v>2260</v>
      </c>
      <c r="G439" s="3" t="s">
        <v>1047</v>
      </c>
      <c r="H439" s="3" t="s">
        <v>2261</v>
      </c>
      <c r="I439" s="3" t="s">
        <v>2262</v>
      </c>
      <c r="J439" s="3" t="s">
        <v>2263</v>
      </c>
      <c r="K439" s="0" t="n">
        <v>-1000</v>
      </c>
      <c r="L439" s="0" t="n">
        <v>1000</v>
      </c>
      <c r="M439" s="0" t="n">
        <v>-1000</v>
      </c>
      <c r="N439" s="0" t="n">
        <v>1000</v>
      </c>
      <c r="O439" s="0" t="n">
        <v>-1000</v>
      </c>
      <c r="P439" s="0" t="n">
        <v>1000</v>
      </c>
    </row>
    <row r="440" customFormat="false" ht="15" hidden="false" customHeight="false" outlineLevel="0" collapsed="false">
      <c r="A440" s="3" t="s">
        <v>2264</v>
      </c>
      <c r="B440" s="3" t="s">
        <v>2265</v>
      </c>
      <c r="C440" s="3" t="s">
        <v>2266</v>
      </c>
      <c r="D440" s="7" t="n">
        <v>2</v>
      </c>
      <c r="E440" s="3" t="s">
        <v>2267</v>
      </c>
      <c r="G440" s="3" t="s">
        <v>1047</v>
      </c>
      <c r="H440" s="3" t="s">
        <v>2268</v>
      </c>
      <c r="I440" s="3" t="s">
        <v>2269</v>
      </c>
      <c r="J440" s="3" t="s">
        <v>2270</v>
      </c>
      <c r="K440" s="0" t="n">
        <v>-1000</v>
      </c>
      <c r="L440" s="0" t="n">
        <v>1000</v>
      </c>
      <c r="M440" s="0" t="n">
        <v>-1000</v>
      </c>
      <c r="N440" s="0" t="n">
        <v>1000</v>
      </c>
      <c r="O440" s="0" t="n">
        <v>-1000</v>
      </c>
      <c r="P440" s="0" t="n">
        <v>1000</v>
      </c>
    </row>
    <row r="441" customFormat="false" ht="15" hidden="false" customHeight="false" outlineLevel="0" collapsed="false">
      <c r="A441" s="3" t="s">
        <v>2271</v>
      </c>
      <c r="B441" s="3" t="s">
        <v>2272</v>
      </c>
      <c r="C441" s="3" t="s">
        <v>2273</v>
      </c>
      <c r="D441" s="7" t="n">
        <v>2</v>
      </c>
      <c r="E441" s="3" t="s">
        <v>2260</v>
      </c>
      <c r="G441" s="3" t="s">
        <v>1047</v>
      </c>
      <c r="H441" s="3" t="s">
        <v>2274</v>
      </c>
      <c r="I441" s="3" t="s">
        <v>2275</v>
      </c>
      <c r="J441" s="3" t="s">
        <v>2276</v>
      </c>
      <c r="K441" s="0" t="n">
        <v>0</v>
      </c>
      <c r="L441" s="0" t="n">
        <v>1000</v>
      </c>
      <c r="M441" s="0" t="n">
        <v>0</v>
      </c>
      <c r="N441" s="0" t="n">
        <v>1000</v>
      </c>
      <c r="O441" s="0" t="n">
        <v>0</v>
      </c>
      <c r="P441" s="0" t="n">
        <v>1000</v>
      </c>
    </row>
    <row r="442" customFormat="false" ht="15" hidden="false" customHeight="false" outlineLevel="0" collapsed="false">
      <c r="A442" s="3" t="s">
        <v>2277</v>
      </c>
      <c r="B442" s="3" t="s">
        <v>2278</v>
      </c>
      <c r="C442" s="3" t="s">
        <v>2279</v>
      </c>
      <c r="D442" s="7" t="n">
        <v>1</v>
      </c>
      <c r="E442" s="3" t="s">
        <v>2280</v>
      </c>
      <c r="G442" s="3" t="s">
        <v>177</v>
      </c>
      <c r="K442" s="0" t="n">
        <v>0</v>
      </c>
      <c r="L442" s="0" t="n">
        <v>1000</v>
      </c>
      <c r="M442" s="0" t="n">
        <v>0</v>
      </c>
      <c r="N442" s="0" t="n">
        <v>1000</v>
      </c>
      <c r="O442" s="0" t="n">
        <v>0</v>
      </c>
      <c r="P442" s="0" t="n">
        <v>1000</v>
      </c>
    </row>
    <row r="443" customFormat="false" ht="15" hidden="false" customHeight="false" outlineLevel="0" collapsed="false">
      <c r="A443" s="3" t="s">
        <v>2281</v>
      </c>
      <c r="B443" s="3" t="s">
        <v>2282</v>
      </c>
      <c r="C443" s="3" t="s">
        <v>2283</v>
      </c>
      <c r="D443" s="7" t="n">
        <v>2</v>
      </c>
      <c r="E443" s="3" t="s">
        <v>2284</v>
      </c>
      <c r="G443" s="3" t="s">
        <v>308</v>
      </c>
      <c r="H443" s="3" t="s">
        <v>2285</v>
      </c>
      <c r="I443" s="3" t="s">
        <v>2286</v>
      </c>
      <c r="J443" s="3" t="s">
        <v>2287</v>
      </c>
      <c r="K443" s="0" t="n">
        <v>0</v>
      </c>
      <c r="L443" s="0" t="n">
        <v>1000</v>
      </c>
      <c r="M443" s="0" t="n">
        <v>0</v>
      </c>
      <c r="N443" s="0" t="n">
        <v>1000</v>
      </c>
      <c r="O443" s="0" t="n">
        <v>0</v>
      </c>
      <c r="P443" s="0" t="n">
        <v>1000</v>
      </c>
    </row>
    <row r="444" customFormat="false" ht="15" hidden="false" customHeight="false" outlineLevel="0" collapsed="false">
      <c r="A444" s="3" t="s">
        <v>2288</v>
      </c>
      <c r="B444" s="3" t="s">
        <v>2289</v>
      </c>
      <c r="C444" s="3" t="s">
        <v>2290</v>
      </c>
      <c r="D444" s="7" t="n">
        <v>2</v>
      </c>
      <c r="E444" s="3" t="s">
        <v>2291</v>
      </c>
      <c r="G444" s="3" t="s">
        <v>177</v>
      </c>
      <c r="H444" s="3" t="s">
        <v>2292</v>
      </c>
      <c r="I444" s="3" t="s">
        <v>2293</v>
      </c>
      <c r="J444" s="3" t="s">
        <v>2294</v>
      </c>
      <c r="K444" s="0" t="n">
        <v>-1000</v>
      </c>
      <c r="L444" s="0" t="n">
        <v>1000</v>
      </c>
      <c r="M444" s="0" t="n">
        <v>-1000</v>
      </c>
      <c r="N444" s="0" t="n">
        <v>1000</v>
      </c>
      <c r="O444" s="0" t="n">
        <v>-1000</v>
      </c>
      <c r="P444" s="0" t="n">
        <v>1000</v>
      </c>
    </row>
    <row r="445" customFormat="false" ht="15" hidden="false" customHeight="false" outlineLevel="0" collapsed="false">
      <c r="A445" s="3" t="s">
        <v>2295</v>
      </c>
      <c r="B445" s="3" t="s">
        <v>2296</v>
      </c>
      <c r="C445" s="3" t="s">
        <v>2297</v>
      </c>
      <c r="D445" s="7" t="n">
        <v>2</v>
      </c>
      <c r="E445" s="3" t="s">
        <v>2298</v>
      </c>
      <c r="G445" s="3" t="s">
        <v>2033</v>
      </c>
      <c r="H445" s="3" t="s">
        <v>2299</v>
      </c>
      <c r="I445" s="3" t="s">
        <v>2300</v>
      </c>
      <c r="J445" s="3" t="s">
        <v>2301</v>
      </c>
      <c r="K445" s="0" t="n">
        <v>-1000</v>
      </c>
      <c r="L445" s="0" t="n">
        <v>1000</v>
      </c>
      <c r="M445" s="0" t="n">
        <v>-1000</v>
      </c>
      <c r="N445" s="0" t="n">
        <v>1000</v>
      </c>
      <c r="O445" s="0" t="n">
        <v>-1000</v>
      </c>
      <c r="P445" s="0" t="n">
        <v>1000</v>
      </c>
    </row>
    <row r="446" customFormat="false" ht="15" hidden="false" customHeight="false" outlineLevel="0" collapsed="false">
      <c r="A446" s="3" t="s">
        <v>2302</v>
      </c>
      <c r="B446" s="3" t="s">
        <v>2303</v>
      </c>
      <c r="C446" s="3" t="s">
        <v>2304</v>
      </c>
      <c r="D446" s="7" t="n">
        <v>2</v>
      </c>
      <c r="E446" s="3" t="s">
        <v>2305</v>
      </c>
      <c r="G446" s="3" t="s">
        <v>1479</v>
      </c>
      <c r="H446" s="3" t="s">
        <v>2306</v>
      </c>
      <c r="I446" s="3" t="s">
        <v>2307</v>
      </c>
      <c r="J446" s="3" t="s">
        <v>2308</v>
      </c>
      <c r="K446" s="0" t="n">
        <v>0</v>
      </c>
      <c r="L446" s="0" t="n">
        <v>1000</v>
      </c>
      <c r="M446" s="0" t="n">
        <v>0</v>
      </c>
      <c r="N446" s="0" t="n">
        <v>1000</v>
      </c>
      <c r="O446" s="0" t="n">
        <v>0</v>
      </c>
      <c r="P446" s="0" t="n">
        <v>1000</v>
      </c>
    </row>
    <row r="447" customFormat="false" ht="15" hidden="false" customHeight="false" outlineLevel="0" collapsed="false">
      <c r="A447" s="3" t="s">
        <v>2309</v>
      </c>
      <c r="B447" s="3" t="s">
        <v>2310</v>
      </c>
      <c r="C447" s="3" t="s">
        <v>2311</v>
      </c>
      <c r="D447" s="7" t="n">
        <v>2</v>
      </c>
      <c r="E447" s="3" t="s">
        <v>2312</v>
      </c>
      <c r="F447" s="7" t="n">
        <v>14675496</v>
      </c>
      <c r="G447" s="3" t="s">
        <v>301</v>
      </c>
      <c r="H447" s="3" t="s">
        <v>2313</v>
      </c>
      <c r="I447" s="3" t="s">
        <v>2314</v>
      </c>
      <c r="J447" s="3" t="s">
        <v>2315</v>
      </c>
      <c r="K447" s="0" t="n">
        <v>0</v>
      </c>
      <c r="L447" s="0" t="n">
        <v>1000</v>
      </c>
      <c r="M447" s="0" t="n">
        <v>0</v>
      </c>
      <c r="N447" s="0" t="n">
        <v>1000</v>
      </c>
      <c r="O447" s="0" t="n">
        <v>0</v>
      </c>
      <c r="P447" s="0" t="n">
        <v>1000</v>
      </c>
    </row>
    <row r="448" customFormat="false" ht="15" hidden="false" customHeight="false" outlineLevel="0" collapsed="false">
      <c r="A448" s="3" t="s">
        <v>2316</v>
      </c>
      <c r="B448" s="3" t="s">
        <v>2317</v>
      </c>
      <c r="C448" s="3" t="s">
        <v>2318</v>
      </c>
      <c r="D448" s="7" t="n">
        <v>2</v>
      </c>
      <c r="E448" s="3" t="s">
        <v>2319</v>
      </c>
      <c r="G448" s="3" t="s">
        <v>664</v>
      </c>
      <c r="H448" s="3" t="s">
        <v>2320</v>
      </c>
      <c r="I448" s="3" t="s">
        <v>2321</v>
      </c>
      <c r="J448" s="3" t="s">
        <v>2320</v>
      </c>
      <c r="K448" s="0" t="n">
        <v>0</v>
      </c>
      <c r="L448" s="0" t="n">
        <v>1000</v>
      </c>
      <c r="M448" s="0" t="n">
        <v>0</v>
      </c>
      <c r="N448" s="0" t="n">
        <v>1000</v>
      </c>
      <c r="O448" s="0" t="n">
        <v>0</v>
      </c>
      <c r="P448" s="0" t="n">
        <v>1000</v>
      </c>
    </row>
    <row r="449" customFormat="false" ht="15" hidden="false" customHeight="false" outlineLevel="0" collapsed="false">
      <c r="A449" s="3" t="s">
        <v>2322</v>
      </c>
      <c r="B449" s="3" t="s">
        <v>2323</v>
      </c>
      <c r="C449" s="3" t="s">
        <v>2324</v>
      </c>
      <c r="D449" s="7" t="n">
        <v>2</v>
      </c>
      <c r="E449" s="3" t="s">
        <v>2325</v>
      </c>
      <c r="G449" s="3" t="s">
        <v>556</v>
      </c>
      <c r="H449" s="3" t="s">
        <v>2326</v>
      </c>
      <c r="I449" s="3" t="s">
        <v>2327</v>
      </c>
      <c r="J449" s="3" t="s">
        <v>2328</v>
      </c>
      <c r="K449" s="0" t="n">
        <v>0</v>
      </c>
      <c r="L449" s="0" t="n">
        <v>1000</v>
      </c>
      <c r="M449" s="0" t="n">
        <v>0</v>
      </c>
      <c r="N449" s="0" t="n">
        <v>1000</v>
      </c>
      <c r="O449" s="0" t="n">
        <v>0</v>
      </c>
      <c r="P449" s="0" t="n">
        <v>1000</v>
      </c>
    </row>
    <row r="450" customFormat="false" ht="15" hidden="false" customHeight="false" outlineLevel="0" collapsed="false">
      <c r="A450" s="3" t="s">
        <v>2329</v>
      </c>
      <c r="B450" s="3" t="s">
        <v>2330</v>
      </c>
      <c r="C450" s="3" t="s">
        <v>2331</v>
      </c>
      <c r="D450" s="7" t="n">
        <v>2</v>
      </c>
      <c r="E450" s="3" t="s">
        <v>2332</v>
      </c>
      <c r="G450" s="3" t="s">
        <v>2333</v>
      </c>
      <c r="H450" s="3" t="s">
        <v>2334</v>
      </c>
      <c r="I450" s="3" t="s">
        <v>2335</v>
      </c>
      <c r="J450" s="3" t="s">
        <v>2336</v>
      </c>
      <c r="K450" s="0" t="n">
        <v>-1000</v>
      </c>
      <c r="L450" s="0" t="n">
        <v>1000</v>
      </c>
      <c r="M450" s="0" t="n">
        <v>-1000</v>
      </c>
      <c r="N450" s="0" t="n">
        <v>1000</v>
      </c>
      <c r="O450" s="0" t="n">
        <v>-1000</v>
      </c>
      <c r="P450" s="0" t="n">
        <v>1000</v>
      </c>
    </row>
    <row r="451" customFormat="false" ht="15" hidden="false" customHeight="false" outlineLevel="0" collapsed="false">
      <c r="A451" s="3" t="s">
        <v>2337</v>
      </c>
      <c r="B451" s="3" t="s">
        <v>2338</v>
      </c>
      <c r="C451" s="3" t="s">
        <v>2339</v>
      </c>
      <c r="D451" s="7" t="n">
        <v>2</v>
      </c>
      <c r="E451" s="3" t="s">
        <v>2340</v>
      </c>
      <c r="G451" s="3" t="s">
        <v>2333</v>
      </c>
      <c r="H451" s="3" t="s">
        <v>2341</v>
      </c>
      <c r="I451" s="3" t="s">
        <v>2342</v>
      </c>
      <c r="J451" s="3" t="s">
        <v>2343</v>
      </c>
      <c r="K451" s="0" t="n">
        <v>-1000</v>
      </c>
      <c r="L451" s="0" t="n">
        <v>1000</v>
      </c>
      <c r="M451" s="0" t="n">
        <v>-1000</v>
      </c>
      <c r="N451" s="0" t="n">
        <v>1000</v>
      </c>
      <c r="O451" s="0" t="n">
        <v>-1000</v>
      </c>
      <c r="P451" s="0" t="n">
        <v>1000</v>
      </c>
    </row>
    <row r="452" customFormat="false" ht="15" hidden="false" customHeight="false" outlineLevel="0" collapsed="false">
      <c r="A452" s="3" t="s">
        <v>2344</v>
      </c>
      <c r="B452" s="3" t="s">
        <v>2345</v>
      </c>
      <c r="C452" s="3" t="s">
        <v>2346</v>
      </c>
      <c r="D452" s="7" t="n">
        <v>2</v>
      </c>
      <c r="E452" s="3" t="s">
        <v>2347</v>
      </c>
      <c r="G452" s="3" t="s">
        <v>2333</v>
      </c>
      <c r="H452" s="3" t="s">
        <v>2348</v>
      </c>
      <c r="I452" s="3" t="s">
        <v>2349</v>
      </c>
      <c r="J452" s="3" t="s">
        <v>2350</v>
      </c>
      <c r="K452" s="0" t="n">
        <v>-1000</v>
      </c>
      <c r="L452" s="0" t="n">
        <v>1000</v>
      </c>
      <c r="M452" s="0" t="n">
        <v>-1000</v>
      </c>
      <c r="N452" s="0" t="n">
        <v>1000</v>
      </c>
      <c r="O452" s="0" t="n">
        <v>-1000</v>
      </c>
      <c r="P452" s="0" t="n">
        <v>1000</v>
      </c>
    </row>
    <row r="453" customFormat="false" ht="15" hidden="false" customHeight="false" outlineLevel="0" collapsed="false">
      <c r="A453" s="3" t="s">
        <v>2351</v>
      </c>
      <c r="B453" s="3" t="s">
        <v>2352</v>
      </c>
      <c r="C453" s="3" t="s">
        <v>2353</v>
      </c>
      <c r="D453" s="7" t="n">
        <v>2</v>
      </c>
      <c r="E453" s="3" t="s">
        <v>2354</v>
      </c>
      <c r="F453" s="7" t="n">
        <v>19077236</v>
      </c>
      <c r="G453" s="3" t="s">
        <v>556</v>
      </c>
      <c r="H453" s="3" t="s">
        <v>2355</v>
      </c>
      <c r="I453" s="3" t="s">
        <v>2356</v>
      </c>
      <c r="J453" s="3" t="s">
        <v>2355</v>
      </c>
      <c r="K453" s="0" t="n">
        <v>0</v>
      </c>
      <c r="L453" s="0" t="n">
        <v>1000</v>
      </c>
      <c r="M453" s="0" t="n">
        <v>0</v>
      </c>
      <c r="N453" s="0" t="n">
        <v>1000</v>
      </c>
      <c r="O453" s="0" t="n">
        <v>0</v>
      </c>
      <c r="P453" s="0" t="n">
        <v>1000</v>
      </c>
    </row>
    <row r="454" customFormat="false" ht="15" hidden="false" customHeight="false" outlineLevel="0" collapsed="false">
      <c r="A454" s="3" t="s">
        <v>2357</v>
      </c>
      <c r="B454" s="3" t="s">
        <v>2358</v>
      </c>
      <c r="C454" s="3" t="s">
        <v>2359</v>
      </c>
      <c r="D454" s="7" t="n">
        <v>2</v>
      </c>
      <c r="E454" s="3" t="s">
        <v>2360</v>
      </c>
      <c r="G454" s="3" t="s">
        <v>1292</v>
      </c>
      <c r="H454" s="3" t="s">
        <v>2361</v>
      </c>
      <c r="I454" s="3" t="s">
        <v>2362</v>
      </c>
      <c r="J454" s="3" t="s">
        <v>2363</v>
      </c>
      <c r="K454" s="0" t="n">
        <v>-1000</v>
      </c>
      <c r="L454" s="0" t="n">
        <v>1000</v>
      </c>
      <c r="M454" s="0" t="n">
        <v>-1000</v>
      </c>
      <c r="N454" s="0" t="n">
        <v>1000</v>
      </c>
      <c r="O454" s="0" t="n">
        <v>-1000</v>
      </c>
      <c r="P454" s="0" t="n">
        <v>1000</v>
      </c>
    </row>
    <row r="455" customFormat="false" ht="15" hidden="false" customHeight="false" outlineLevel="0" collapsed="false">
      <c r="A455" s="3" t="s">
        <v>2364</v>
      </c>
      <c r="B455" s="3" t="s">
        <v>2365</v>
      </c>
      <c r="C455" s="3" t="s">
        <v>2366</v>
      </c>
      <c r="D455" s="7" t="n">
        <v>2</v>
      </c>
      <c r="E455" s="3" t="s">
        <v>2367</v>
      </c>
      <c r="G455" s="3" t="s">
        <v>1395</v>
      </c>
      <c r="H455" s="3" t="s">
        <v>2348</v>
      </c>
      <c r="I455" s="3" t="s">
        <v>2349</v>
      </c>
      <c r="J455" s="3" t="s">
        <v>2350</v>
      </c>
      <c r="K455" s="0" t="n">
        <v>-1000</v>
      </c>
      <c r="L455" s="0" t="n">
        <v>1000</v>
      </c>
      <c r="M455" s="0" t="n">
        <v>-1000</v>
      </c>
      <c r="N455" s="0" t="n">
        <v>1000</v>
      </c>
      <c r="O455" s="0" t="n">
        <v>-1000</v>
      </c>
      <c r="P455" s="0" t="n">
        <v>1000</v>
      </c>
    </row>
    <row r="456" customFormat="false" ht="15" hidden="false" customHeight="false" outlineLevel="0" collapsed="false">
      <c r="A456" s="3" t="s">
        <v>2368</v>
      </c>
      <c r="B456" s="3" t="s">
        <v>2369</v>
      </c>
      <c r="C456" s="3" t="s">
        <v>2370</v>
      </c>
      <c r="D456" s="7" t="n">
        <v>2</v>
      </c>
      <c r="G456" s="3" t="s">
        <v>874</v>
      </c>
      <c r="H456" s="3" t="s">
        <v>2371</v>
      </c>
      <c r="I456" s="3" t="s">
        <v>2372</v>
      </c>
      <c r="J456" s="3" t="s">
        <v>2371</v>
      </c>
      <c r="K456" s="0" t="n">
        <v>0</v>
      </c>
      <c r="L456" s="0" t="n">
        <v>1000</v>
      </c>
      <c r="M456" s="0" t="n">
        <v>0</v>
      </c>
      <c r="N456" s="0" t="n">
        <v>1000</v>
      </c>
      <c r="O456" s="0" t="n">
        <v>0</v>
      </c>
      <c r="P456" s="0" t="n">
        <v>1000</v>
      </c>
    </row>
    <row r="457" customFormat="false" ht="15" hidden="false" customHeight="false" outlineLevel="0" collapsed="false">
      <c r="A457" s="3" t="s">
        <v>2373</v>
      </c>
      <c r="B457" s="3" t="s">
        <v>2374</v>
      </c>
      <c r="C457" s="3" t="s">
        <v>2375</v>
      </c>
      <c r="D457" s="7" t="n">
        <v>2</v>
      </c>
      <c r="E457" s="3" t="s">
        <v>2376</v>
      </c>
      <c r="F457" s="7" t="n">
        <v>19077236</v>
      </c>
      <c r="G457" s="3" t="s">
        <v>556</v>
      </c>
      <c r="H457" s="3" t="s">
        <v>2377</v>
      </c>
      <c r="I457" s="3" t="s">
        <v>2378</v>
      </c>
      <c r="J457" s="3" t="s">
        <v>2379</v>
      </c>
      <c r="K457" s="0" t="n">
        <v>-1000</v>
      </c>
      <c r="L457" s="0" t="n">
        <v>1000</v>
      </c>
      <c r="M457" s="0" t="n">
        <v>-1000</v>
      </c>
      <c r="N457" s="0" t="n">
        <v>1000</v>
      </c>
      <c r="O457" s="0" t="n">
        <v>-1000</v>
      </c>
      <c r="P457" s="0" t="n">
        <v>1000</v>
      </c>
    </row>
    <row r="458" customFormat="false" ht="15" hidden="false" customHeight="false" outlineLevel="0" collapsed="false">
      <c r="A458" s="3" t="s">
        <v>2380</v>
      </c>
      <c r="B458" s="3" t="s">
        <v>2381</v>
      </c>
      <c r="C458" s="3" t="s">
        <v>2382</v>
      </c>
      <c r="D458" s="7" t="n">
        <v>2</v>
      </c>
      <c r="E458" s="3" t="s">
        <v>2383</v>
      </c>
      <c r="F458" s="7" t="n">
        <v>19077236</v>
      </c>
      <c r="G458" s="3" t="s">
        <v>1211</v>
      </c>
      <c r="H458" s="3" t="s">
        <v>2384</v>
      </c>
      <c r="I458" s="3" t="s">
        <v>2385</v>
      </c>
      <c r="J458" s="3" t="s">
        <v>2386</v>
      </c>
      <c r="K458" s="0" t="n">
        <v>0</v>
      </c>
      <c r="L458" s="0" t="n">
        <v>1000</v>
      </c>
      <c r="M458" s="0" t="n">
        <v>0</v>
      </c>
      <c r="N458" s="0" t="n">
        <v>1000</v>
      </c>
      <c r="O458" s="0" t="n">
        <v>0</v>
      </c>
      <c r="P458" s="0" t="n">
        <v>1000</v>
      </c>
    </row>
    <row r="459" customFormat="false" ht="15" hidden="false" customHeight="false" outlineLevel="0" collapsed="false">
      <c r="A459" s="3" t="s">
        <v>2387</v>
      </c>
      <c r="B459" s="3" t="s">
        <v>2388</v>
      </c>
      <c r="C459" s="3" t="s">
        <v>2389</v>
      </c>
      <c r="D459" s="7" t="n">
        <v>2</v>
      </c>
      <c r="E459" s="3" t="s">
        <v>2390</v>
      </c>
      <c r="F459" s="7" t="n">
        <v>19077236</v>
      </c>
      <c r="G459" s="3" t="s">
        <v>874</v>
      </c>
      <c r="H459" s="3" t="s">
        <v>2391</v>
      </c>
      <c r="I459" s="3" t="s">
        <v>2392</v>
      </c>
      <c r="J459" s="3" t="s">
        <v>2393</v>
      </c>
      <c r="K459" s="0" t="n">
        <v>-1000</v>
      </c>
      <c r="L459" s="0" t="n">
        <v>1000</v>
      </c>
      <c r="M459" s="0" t="n">
        <v>-1000</v>
      </c>
      <c r="N459" s="0" t="n">
        <v>1000</v>
      </c>
      <c r="O459" s="0" t="n">
        <v>-1000</v>
      </c>
      <c r="P459" s="0" t="n">
        <v>1000</v>
      </c>
    </row>
    <row r="460" customFormat="false" ht="15" hidden="false" customHeight="false" outlineLevel="0" collapsed="false">
      <c r="A460" s="3" t="s">
        <v>2394</v>
      </c>
      <c r="B460" s="3" t="s">
        <v>2395</v>
      </c>
      <c r="C460" s="3" t="s">
        <v>2396</v>
      </c>
      <c r="D460" s="7" t="n">
        <v>2</v>
      </c>
      <c r="E460" s="3" t="s">
        <v>2397</v>
      </c>
      <c r="G460" s="3" t="s">
        <v>1479</v>
      </c>
      <c r="H460" s="3" t="s">
        <v>2398</v>
      </c>
      <c r="I460" s="3" t="s">
        <v>2399</v>
      </c>
      <c r="J460" s="3" t="s">
        <v>2400</v>
      </c>
      <c r="K460" s="0" t="n">
        <v>-1000</v>
      </c>
      <c r="L460" s="0" t="n">
        <v>1000</v>
      </c>
      <c r="M460" s="0" t="n">
        <v>-1000</v>
      </c>
      <c r="N460" s="0" t="n">
        <v>1000</v>
      </c>
      <c r="O460" s="0" t="n">
        <v>-1000</v>
      </c>
      <c r="P460" s="0" t="n">
        <v>1000</v>
      </c>
    </row>
    <row r="461" customFormat="false" ht="15" hidden="false" customHeight="false" outlineLevel="0" collapsed="false">
      <c r="A461" s="3" t="s">
        <v>2401</v>
      </c>
      <c r="B461" s="3" t="s">
        <v>2402</v>
      </c>
      <c r="C461" s="3" t="s">
        <v>2403</v>
      </c>
      <c r="D461" s="7" t="n">
        <v>2</v>
      </c>
      <c r="E461" s="3" t="s">
        <v>2404</v>
      </c>
      <c r="F461" s="7" t="n">
        <v>19077236</v>
      </c>
      <c r="G461" s="3" t="s">
        <v>391</v>
      </c>
      <c r="H461" s="3" t="s">
        <v>2405</v>
      </c>
      <c r="I461" s="3" t="s">
        <v>2406</v>
      </c>
      <c r="J461" s="3" t="s">
        <v>2407</v>
      </c>
      <c r="K461" s="0" t="n">
        <v>0</v>
      </c>
      <c r="L461" s="0" t="n">
        <v>1000</v>
      </c>
      <c r="M461" s="0" t="n">
        <v>0</v>
      </c>
      <c r="N461" s="0" t="n">
        <v>1000</v>
      </c>
      <c r="O461" s="0" t="n">
        <v>0</v>
      </c>
      <c r="P461" s="0" t="n">
        <v>1000</v>
      </c>
    </row>
    <row r="462" customFormat="false" ht="15" hidden="false" customHeight="false" outlineLevel="0" collapsed="false">
      <c r="A462" s="3" t="s">
        <v>2408</v>
      </c>
      <c r="B462" s="3" t="s">
        <v>2409</v>
      </c>
      <c r="C462" s="3" t="s">
        <v>2410</v>
      </c>
      <c r="D462" s="7" t="n">
        <v>2</v>
      </c>
      <c r="E462" s="3" t="s">
        <v>2411</v>
      </c>
      <c r="F462" s="7" t="n">
        <v>19077236</v>
      </c>
      <c r="G462" s="3" t="s">
        <v>556</v>
      </c>
      <c r="H462" s="3" t="s">
        <v>2412</v>
      </c>
      <c r="I462" s="3" t="s">
        <v>2413</v>
      </c>
      <c r="J462" s="3" t="s">
        <v>2414</v>
      </c>
      <c r="K462" s="0" t="n">
        <v>-1000</v>
      </c>
      <c r="L462" s="0" t="n">
        <v>1000</v>
      </c>
      <c r="M462" s="0" t="n">
        <v>-1000</v>
      </c>
      <c r="N462" s="0" t="n">
        <v>1000</v>
      </c>
      <c r="O462" s="0" t="n">
        <v>-1000</v>
      </c>
      <c r="P462" s="0" t="n">
        <v>1000</v>
      </c>
    </row>
    <row r="463" customFormat="false" ht="15" hidden="false" customHeight="false" outlineLevel="0" collapsed="false">
      <c r="A463" s="3" t="s">
        <v>2415</v>
      </c>
      <c r="B463" s="3" t="s">
        <v>2416</v>
      </c>
      <c r="C463" s="3" t="s">
        <v>2417</v>
      </c>
      <c r="D463" s="7" t="n">
        <v>2</v>
      </c>
      <c r="E463" s="3" t="s">
        <v>2418</v>
      </c>
      <c r="F463" s="7" t="n">
        <v>19077236</v>
      </c>
      <c r="G463" s="3" t="s">
        <v>556</v>
      </c>
      <c r="H463" s="3" t="s">
        <v>2419</v>
      </c>
      <c r="I463" s="3" t="s">
        <v>2420</v>
      </c>
      <c r="J463" s="3" t="s">
        <v>2419</v>
      </c>
      <c r="K463" s="0" t="n">
        <v>-1000</v>
      </c>
      <c r="L463" s="0" t="n">
        <v>1000</v>
      </c>
      <c r="M463" s="0" t="n">
        <v>-1000</v>
      </c>
      <c r="N463" s="0" t="n">
        <v>1000</v>
      </c>
      <c r="O463" s="0" t="n">
        <v>-1000</v>
      </c>
      <c r="P463" s="0" t="n">
        <v>1000</v>
      </c>
    </row>
    <row r="464" customFormat="false" ht="15" hidden="false" customHeight="false" outlineLevel="0" collapsed="false">
      <c r="A464" s="3" t="s">
        <v>2421</v>
      </c>
      <c r="B464" s="3" t="s">
        <v>2416</v>
      </c>
      <c r="C464" s="3" t="s">
        <v>2422</v>
      </c>
      <c r="D464" s="7" t="n">
        <v>2</v>
      </c>
      <c r="E464" s="3" t="s">
        <v>2423</v>
      </c>
      <c r="F464" s="7" t="n">
        <v>19077236</v>
      </c>
      <c r="G464" s="3" t="s">
        <v>556</v>
      </c>
      <c r="H464" s="3" t="s">
        <v>2419</v>
      </c>
      <c r="I464" s="3" t="s">
        <v>2420</v>
      </c>
      <c r="J464" s="3" t="s">
        <v>2419</v>
      </c>
      <c r="K464" s="0" t="n">
        <v>-1000</v>
      </c>
      <c r="L464" s="0" t="n">
        <v>1000</v>
      </c>
      <c r="M464" s="0" t="n">
        <v>-1000</v>
      </c>
      <c r="N464" s="0" t="n">
        <v>1000</v>
      </c>
      <c r="O464" s="0" t="n">
        <v>-1000</v>
      </c>
      <c r="P464" s="0" t="n">
        <v>1000</v>
      </c>
    </row>
    <row r="465" customFormat="false" ht="15" hidden="false" customHeight="false" outlineLevel="0" collapsed="false">
      <c r="A465" s="3" t="s">
        <v>2424</v>
      </c>
      <c r="B465" s="3" t="s">
        <v>2425</v>
      </c>
      <c r="C465" s="3" t="s">
        <v>2426</v>
      </c>
      <c r="D465" s="7" t="n">
        <v>2</v>
      </c>
      <c r="E465" s="3" t="s">
        <v>2427</v>
      </c>
      <c r="G465" s="3" t="s">
        <v>1315</v>
      </c>
      <c r="H465" s="3" t="s">
        <v>2428</v>
      </c>
      <c r="I465" s="3" t="s">
        <v>2429</v>
      </c>
      <c r="J465" s="3" t="s">
        <v>2430</v>
      </c>
      <c r="K465" s="0" t="n">
        <v>0</v>
      </c>
      <c r="L465" s="0" t="n">
        <v>1000</v>
      </c>
      <c r="M465" s="0" t="n">
        <v>0</v>
      </c>
      <c r="N465" s="0" t="n">
        <v>1000</v>
      </c>
      <c r="O465" s="0" t="n">
        <v>0</v>
      </c>
      <c r="P465" s="0" t="n">
        <v>1000</v>
      </c>
    </row>
    <row r="466" customFormat="false" ht="15" hidden="false" customHeight="false" outlineLevel="0" collapsed="false">
      <c r="A466" s="3" t="s">
        <v>2431</v>
      </c>
      <c r="B466" s="3" t="s">
        <v>2432</v>
      </c>
      <c r="C466" s="3" t="s">
        <v>2433</v>
      </c>
      <c r="D466" s="7" t="n">
        <v>2</v>
      </c>
      <c r="E466" s="3" t="s">
        <v>2434</v>
      </c>
      <c r="G466" s="3" t="s">
        <v>1315</v>
      </c>
      <c r="H466" s="3" t="s">
        <v>2435</v>
      </c>
      <c r="I466" s="3" t="s">
        <v>2436</v>
      </c>
      <c r="J466" s="3" t="s">
        <v>2437</v>
      </c>
      <c r="K466" s="0" t="n">
        <v>0</v>
      </c>
      <c r="L466" s="0" t="n">
        <v>1000</v>
      </c>
      <c r="M466" s="0" t="n">
        <v>0</v>
      </c>
      <c r="N466" s="0" t="n">
        <v>1000</v>
      </c>
      <c r="O466" s="0" t="n">
        <v>0</v>
      </c>
      <c r="P466" s="0" t="n">
        <v>1000</v>
      </c>
    </row>
    <row r="467" customFormat="false" ht="15" hidden="false" customHeight="false" outlineLevel="0" collapsed="false">
      <c r="A467" s="3" t="s">
        <v>2438</v>
      </c>
      <c r="B467" s="3" t="s">
        <v>2439</v>
      </c>
      <c r="C467" s="3" t="s">
        <v>2440</v>
      </c>
      <c r="D467" s="7" t="n">
        <v>2</v>
      </c>
      <c r="E467" s="3" t="s">
        <v>525</v>
      </c>
      <c r="G467" s="3" t="s">
        <v>423</v>
      </c>
      <c r="H467" s="3" t="s">
        <v>526</v>
      </c>
      <c r="I467" s="3" t="s">
        <v>527</v>
      </c>
      <c r="J467" s="3" t="s">
        <v>528</v>
      </c>
      <c r="K467" s="0" t="n">
        <v>-1000</v>
      </c>
      <c r="L467" s="0" t="n">
        <v>1000</v>
      </c>
      <c r="M467" s="0" t="n">
        <v>-1000</v>
      </c>
      <c r="N467" s="0" t="n">
        <v>1000</v>
      </c>
      <c r="O467" s="0" t="n">
        <v>-1000</v>
      </c>
      <c r="P467" s="0" t="n">
        <v>1000</v>
      </c>
    </row>
    <row r="468" customFormat="false" ht="15" hidden="false" customHeight="false" outlineLevel="0" collapsed="false">
      <c r="A468" s="3" t="s">
        <v>2441</v>
      </c>
      <c r="B468" s="3" t="s">
        <v>2442</v>
      </c>
      <c r="C468" s="3" t="s">
        <v>2443</v>
      </c>
      <c r="D468" s="7" t="n">
        <v>2</v>
      </c>
      <c r="E468" s="3" t="s">
        <v>2223</v>
      </c>
      <c r="G468" s="3" t="s">
        <v>686</v>
      </c>
      <c r="H468" s="3" t="s">
        <v>2444</v>
      </c>
      <c r="I468" s="3" t="s">
        <v>2445</v>
      </c>
      <c r="J468" s="3" t="s">
        <v>2446</v>
      </c>
      <c r="K468" s="0" t="n">
        <v>0</v>
      </c>
      <c r="L468" s="0" t="n">
        <v>1000</v>
      </c>
      <c r="M468" s="0" t="n">
        <v>0</v>
      </c>
      <c r="N468" s="0" t="n">
        <v>1000</v>
      </c>
      <c r="O468" s="0" t="n">
        <v>0</v>
      </c>
      <c r="P468" s="0" t="n">
        <v>1000</v>
      </c>
    </row>
    <row r="469" customFormat="false" ht="15" hidden="false" customHeight="false" outlineLevel="0" collapsed="false">
      <c r="A469" s="3" t="s">
        <v>2447</v>
      </c>
      <c r="B469" s="3" t="s">
        <v>2448</v>
      </c>
      <c r="C469" s="3" t="s">
        <v>2449</v>
      </c>
      <c r="D469" s="7" t="n">
        <v>3</v>
      </c>
      <c r="F469" s="7" t="n">
        <v>8472923</v>
      </c>
      <c r="G469" s="3" t="s">
        <v>2450</v>
      </c>
      <c r="K469" s="0" t="n">
        <v>-1000</v>
      </c>
      <c r="L469" s="0" t="n">
        <v>1000</v>
      </c>
      <c r="M469" s="0" t="n">
        <v>-1000</v>
      </c>
      <c r="N469" s="0" t="n">
        <v>1000</v>
      </c>
      <c r="O469" s="0" t="n">
        <v>-1000</v>
      </c>
      <c r="P469" s="0" t="n">
        <v>1000</v>
      </c>
    </row>
    <row r="470" customFormat="false" ht="15" hidden="false" customHeight="false" outlineLevel="0" collapsed="false">
      <c r="A470" s="3" t="s">
        <v>2451</v>
      </c>
      <c r="B470" s="3" t="s">
        <v>2448</v>
      </c>
      <c r="C470" s="3" t="s">
        <v>2452</v>
      </c>
      <c r="D470" s="7" t="n">
        <v>3</v>
      </c>
      <c r="F470" s="7" t="n">
        <v>8472923</v>
      </c>
      <c r="G470" s="3" t="s">
        <v>2450</v>
      </c>
      <c r="K470" s="0" t="n">
        <v>-1000</v>
      </c>
      <c r="L470" s="0" t="n">
        <v>1000</v>
      </c>
      <c r="M470" s="0" t="n">
        <v>-1000</v>
      </c>
      <c r="N470" s="0" t="n">
        <v>1000</v>
      </c>
      <c r="O470" s="0" t="n">
        <v>-1000</v>
      </c>
      <c r="P470" s="0" t="n">
        <v>1000</v>
      </c>
    </row>
    <row r="471" customFormat="false" ht="15" hidden="false" customHeight="false" outlineLevel="0" collapsed="false">
      <c r="A471" s="3" t="s">
        <v>2453</v>
      </c>
      <c r="B471" s="3" t="s">
        <v>2454</v>
      </c>
      <c r="C471" s="3" t="s">
        <v>2455</v>
      </c>
      <c r="D471" s="7" t="n">
        <v>3</v>
      </c>
      <c r="F471" s="7" t="n">
        <v>6066049</v>
      </c>
      <c r="G471" s="3" t="s">
        <v>664</v>
      </c>
      <c r="K471" s="0" t="n">
        <v>0</v>
      </c>
      <c r="L471" s="0" t="n">
        <v>1000</v>
      </c>
      <c r="M471" s="0" t="n">
        <v>0</v>
      </c>
      <c r="N471" s="0" t="n">
        <v>1000</v>
      </c>
      <c r="O471" s="0" t="n">
        <v>0</v>
      </c>
      <c r="P471" s="0" t="n">
        <v>1000</v>
      </c>
    </row>
    <row r="472" customFormat="false" ht="15" hidden="false" customHeight="false" outlineLevel="0" collapsed="false">
      <c r="A472" s="3" t="s">
        <v>2456</v>
      </c>
      <c r="B472" s="3" t="s">
        <v>2457</v>
      </c>
      <c r="C472" s="3" t="s">
        <v>2458</v>
      </c>
      <c r="D472" s="7" t="n">
        <v>2</v>
      </c>
      <c r="E472" s="3" t="s">
        <v>2459</v>
      </c>
      <c r="G472" s="3" t="s">
        <v>1941</v>
      </c>
      <c r="H472" s="3" t="s">
        <v>2460</v>
      </c>
      <c r="I472" s="3" t="s">
        <v>2461</v>
      </c>
      <c r="J472" s="3" t="s">
        <v>2460</v>
      </c>
      <c r="K472" s="0" t="n">
        <v>-1000</v>
      </c>
      <c r="L472" s="0" t="n">
        <v>1000</v>
      </c>
      <c r="M472" s="0" t="n">
        <v>-1000</v>
      </c>
      <c r="N472" s="0" t="n">
        <v>1000</v>
      </c>
      <c r="O472" s="0" t="n">
        <v>-1000</v>
      </c>
      <c r="P472" s="0" t="n">
        <v>1000</v>
      </c>
    </row>
    <row r="473" customFormat="false" ht="15" hidden="false" customHeight="false" outlineLevel="0" collapsed="false">
      <c r="A473" s="3" t="s">
        <v>2462</v>
      </c>
      <c r="B473" s="3" t="s">
        <v>2463</v>
      </c>
      <c r="C473" s="3" t="s">
        <v>2464</v>
      </c>
      <c r="D473" s="7" t="n">
        <v>2</v>
      </c>
      <c r="E473" s="3" t="s">
        <v>2465</v>
      </c>
      <c r="G473" s="3" t="s">
        <v>2466</v>
      </c>
      <c r="H473" s="3" t="s">
        <v>2467</v>
      </c>
      <c r="I473" s="3" t="s">
        <v>2468</v>
      </c>
      <c r="J473" s="3" t="s">
        <v>2469</v>
      </c>
      <c r="K473" s="0" t="n">
        <v>-1000</v>
      </c>
      <c r="L473" s="0" t="n">
        <v>1000</v>
      </c>
      <c r="M473" s="0" t="n">
        <v>-1000</v>
      </c>
      <c r="N473" s="0" t="n">
        <v>1000</v>
      </c>
      <c r="O473" s="0" t="n">
        <v>-1000</v>
      </c>
      <c r="P473" s="0" t="n">
        <v>1000</v>
      </c>
    </row>
    <row r="474" customFormat="false" ht="15" hidden="false" customHeight="false" outlineLevel="0" collapsed="false">
      <c r="A474" s="3" t="s">
        <v>2470</v>
      </c>
      <c r="B474" s="3" t="s">
        <v>2471</v>
      </c>
      <c r="C474" s="3" t="s">
        <v>2472</v>
      </c>
      <c r="D474" s="7" t="n">
        <v>2</v>
      </c>
      <c r="E474" s="3" t="s">
        <v>2473</v>
      </c>
      <c r="G474" s="3" t="s">
        <v>405</v>
      </c>
      <c r="H474" s="3" t="s">
        <v>2474</v>
      </c>
      <c r="I474" s="3" t="s">
        <v>2475</v>
      </c>
      <c r="J474" s="3" t="s">
        <v>2474</v>
      </c>
      <c r="K474" s="0" t="n">
        <v>0</v>
      </c>
      <c r="L474" s="0" t="n">
        <v>1000</v>
      </c>
      <c r="M474" s="0" t="n">
        <v>0</v>
      </c>
      <c r="N474" s="0" t="n">
        <v>1000</v>
      </c>
      <c r="O474" s="0" t="n">
        <v>0</v>
      </c>
      <c r="P474" s="0" t="n">
        <v>1000</v>
      </c>
    </row>
    <row r="475" customFormat="false" ht="15" hidden="false" customHeight="false" outlineLevel="0" collapsed="false">
      <c r="A475" s="3" t="s">
        <v>2476</v>
      </c>
      <c r="B475" s="3" t="s">
        <v>2477</v>
      </c>
      <c r="C475" s="3" t="s">
        <v>2478</v>
      </c>
      <c r="D475" s="7" t="n">
        <v>1</v>
      </c>
      <c r="E475" s="3" t="s">
        <v>2479</v>
      </c>
      <c r="G475" s="3" t="s">
        <v>1020</v>
      </c>
      <c r="K475" s="0" t="n">
        <v>-1000</v>
      </c>
      <c r="L475" s="0" t="n">
        <v>1000</v>
      </c>
      <c r="M475" s="0" t="n">
        <v>-1000</v>
      </c>
      <c r="N475" s="0" t="n">
        <v>1000</v>
      </c>
      <c r="O475" s="0" t="n">
        <v>-1000</v>
      </c>
      <c r="P475" s="0" t="n">
        <v>1000</v>
      </c>
    </row>
    <row r="476" customFormat="false" ht="15" hidden="false" customHeight="false" outlineLevel="0" collapsed="false">
      <c r="A476" s="3" t="s">
        <v>2480</v>
      </c>
      <c r="B476" s="3" t="s">
        <v>2481</v>
      </c>
      <c r="C476" s="3" t="s">
        <v>2482</v>
      </c>
      <c r="D476" s="7" t="n">
        <v>2</v>
      </c>
      <c r="E476" s="3" t="s">
        <v>2483</v>
      </c>
      <c r="G476" s="3" t="s">
        <v>1936</v>
      </c>
      <c r="H476" s="3" t="s">
        <v>2484</v>
      </c>
      <c r="I476" s="3" t="s">
        <v>2485</v>
      </c>
      <c r="J476" s="3" t="s">
        <v>2486</v>
      </c>
      <c r="K476" s="0" t="n">
        <v>0</v>
      </c>
      <c r="L476" s="0" t="n">
        <v>1000</v>
      </c>
      <c r="M476" s="0" t="n">
        <v>0</v>
      </c>
      <c r="N476" s="0" t="n">
        <v>1000</v>
      </c>
      <c r="O476" s="0" t="n">
        <v>0</v>
      </c>
      <c r="P476" s="0" t="n">
        <v>1000</v>
      </c>
    </row>
    <row r="477" customFormat="false" ht="15" hidden="false" customHeight="false" outlineLevel="0" collapsed="false">
      <c r="A477" s="3" t="s">
        <v>2487</v>
      </c>
      <c r="B477" s="3" t="s">
        <v>2488</v>
      </c>
      <c r="C477" s="3" t="s">
        <v>2489</v>
      </c>
      <c r="D477" s="7" t="n">
        <v>2</v>
      </c>
      <c r="E477" s="3" t="s">
        <v>2490</v>
      </c>
      <c r="G477" s="3" t="s">
        <v>1307</v>
      </c>
      <c r="H477" s="3" t="s">
        <v>2491</v>
      </c>
      <c r="I477" s="3" t="s">
        <v>2492</v>
      </c>
      <c r="J477" s="3" t="s">
        <v>2493</v>
      </c>
      <c r="K477" s="0" t="n">
        <v>-1000</v>
      </c>
      <c r="L477" s="0" t="n">
        <v>1000</v>
      </c>
      <c r="M477" s="0" t="n">
        <v>-1000</v>
      </c>
      <c r="N477" s="0" t="n">
        <v>1000</v>
      </c>
      <c r="O477" s="0" t="n">
        <v>-1000</v>
      </c>
      <c r="P477" s="0" t="n">
        <v>1000</v>
      </c>
    </row>
    <row r="478" customFormat="false" ht="15" hidden="false" customHeight="false" outlineLevel="0" collapsed="false">
      <c r="A478" s="3" t="s">
        <v>2494</v>
      </c>
      <c r="B478" s="3" t="s">
        <v>2495</v>
      </c>
      <c r="C478" s="3" t="s">
        <v>2496</v>
      </c>
      <c r="D478" s="7" t="n">
        <v>2</v>
      </c>
      <c r="E478" s="3" t="s">
        <v>2497</v>
      </c>
      <c r="F478" s="7" t="n">
        <v>19077236</v>
      </c>
      <c r="G478" s="3" t="s">
        <v>1936</v>
      </c>
      <c r="H478" s="3" t="s">
        <v>2498</v>
      </c>
      <c r="I478" s="3" t="s">
        <v>2499</v>
      </c>
      <c r="J478" s="3" t="s">
        <v>2500</v>
      </c>
      <c r="K478" s="0" t="n">
        <v>0</v>
      </c>
      <c r="L478" s="0" t="n">
        <v>1000</v>
      </c>
      <c r="M478" s="0" t="n">
        <v>0</v>
      </c>
      <c r="N478" s="0" t="n">
        <v>1000</v>
      </c>
      <c r="O478" s="0" t="n">
        <v>0</v>
      </c>
      <c r="P478" s="0" t="n">
        <v>1000</v>
      </c>
    </row>
    <row r="479" customFormat="false" ht="15" hidden="false" customHeight="false" outlineLevel="0" collapsed="false">
      <c r="A479" s="3" t="s">
        <v>2501</v>
      </c>
      <c r="B479" s="3" t="s">
        <v>2502</v>
      </c>
      <c r="C479" s="3" t="s">
        <v>2503</v>
      </c>
      <c r="D479" s="7" t="n">
        <v>2</v>
      </c>
      <c r="E479" s="3" t="s">
        <v>2504</v>
      </c>
      <c r="G479" s="3" t="s">
        <v>2505</v>
      </c>
      <c r="H479" s="3" t="s">
        <v>2506</v>
      </c>
      <c r="I479" s="3" t="s">
        <v>2507</v>
      </c>
      <c r="J479" s="3" t="s">
        <v>2508</v>
      </c>
      <c r="K479" s="0" t="n">
        <v>-1000</v>
      </c>
      <c r="L479" s="0" t="n">
        <v>1000</v>
      </c>
      <c r="M479" s="0" t="n">
        <v>-1000</v>
      </c>
      <c r="N479" s="0" t="n">
        <v>1000</v>
      </c>
      <c r="O479" s="0" t="n">
        <v>-1000</v>
      </c>
      <c r="P479" s="0" t="n">
        <v>1000</v>
      </c>
    </row>
    <row r="480" customFormat="false" ht="15" hidden="false" customHeight="false" outlineLevel="0" collapsed="false">
      <c r="A480" s="3" t="s">
        <v>2509</v>
      </c>
      <c r="B480" s="3" t="s">
        <v>2510</v>
      </c>
      <c r="C480" s="3" t="s">
        <v>2511</v>
      </c>
      <c r="D480" s="7" t="n">
        <v>2</v>
      </c>
      <c r="E480" s="3" t="s">
        <v>2512</v>
      </c>
      <c r="F480" s="7" t="n">
        <v>19077236</v>
      </c>
      <c r="G480" s="3" t="s">
        <v>544</v>
      </c>
      <c r="H480" s="3" t="s">
        <v>2513</v>
      </c>
      <c r="I480" s="3" t="s">
        <v>2514</v>
      </c>
      <c r="J480" s="3" t="s">
        <v>2515</v>
      </c>
      <c r="K480" s="0" t="n">
        <v>0</v>
      </c>
      <c r="L480" s="0" t="n">
        <v>1000</v>
      </c>
      <c r="M480" s="0" t="n">
        <v>0</v>
      </c>
      <c r="N480" s="0" t="n">
        <v>1000</v>
      </c>
      <c r="O480" s="0" t="n">
        <v>0</v>
      </c>
      <c r="P480" s="0" t="n">
        <v>1000</v>
      </c>
    </row>
    <row r="481" customFormat="false" ht="15" hidden="false" customHeight="false" outlineLevel="0" collapsed="false">
      <c r="A481" s="3" t="s">
        <v>2516</v>
      </c>
      <c r="B481" s="3" t="s">
        <v>2517</v>
      </c>
      <c r="C481" s="3" t="s">
        <v>2518</v>
      </c>
      <c r="D481" s="7" t="n">
        <v>2</v>
      </c>
      <c r="E481" s="3" t="s">
        <v>2519</v>
      </c>
      <c r="G481" s="3" t="s">
        <v>2505</v>
      </c>
      <c r="H481" s="3" t="s">
        <v>2506</v>
      </c>
      <c r="I481" s="3" t="s">
        <v>2507</v>
      </c>
      <c r="J481" s="3" t="s">
        <v>2508</v>
      </c>
      <c r="K481" s="0" t="n">
        <v>-1000</v>
      </c>
      <c r="L481" s="0" t="n">
        <v>1000</v>
      </c>
      <c r="M481" s="0" t="n">
        <v>-1000</v>
      </c>
      <c r="N481" s="0" t="n">
        <v>1000</v>
      </c>
      <c r="O481" s="0" t="n">
        <v>-1000</v>
      </c>
      <c r="P481" s="0" t="n">
        <v>1000</v>
      </c>
    </row>
    <row r="482" customFormat="false" ht="15" hidden="false" customHeight="false" outlineLevel="0" collapsed="false">
      <c r="A482" s="3" t="s">
        <v>2520</v>
      </c>
      <c r="B482" s="3" t="s">
        <v>2521</v>
      </c>
      <c r="C482" s="3" t="s">
        <v>2522</v>
      </c>
      <c r="D482" s="7" t="n">
        <v>2</v>
      </c>
      <c r="E482" s="3" t="s">
        <v>2523</v>
      </c>
      <c r="G482" s="3" t="s">
        <v>423</v>
      </c>
      <c r="H482" s="3" t="s">
        <v>2524</v>
      </c>
      <c r="I482" s="3" t="s">
        <v>2525</v>
      </c>
      <c r="J482" s="3" t="s">
        <v>2526</v>
      </c>
      <c r="K482" s="0" t="n">
        <v>0</v>
      </c>
      <c r="L482" s="0" t="n">
        <v>1000</v>
      </c>
      <c r="M482" s="0" t="n">
        <v>0</v>
      </c>
      <c r="N482" s="0" t="n">
        <v>1000</v>
      </c>
      <c r="O482" s="0" t="n">
        <v>0</v>
      </c>
      <c r="P482" s="0" t="n">
        <v>1000</v>
      </c>
    </row>
    <row r="483" customFormat="false" ht="15" hidden="false" customHeight="false" outlineLevel="0" collapsed="false">
      <c r="A483" s="3" t="s">
        <v>2527</v>
      </c>
      <c r="B483" s="3" t="s">
        <v>2528</v>
      </c>
      <c r="C483" s="3" t="s">
        <v>2529</v>
      </c>
      <c r="D483" s="7" t="n">
        <v>2</v>
      </c>
      <c r="E483" s="3" t="s">
        <v>2530</v>
      </c>
      <c r="G483" s="3" t="s">
        <v>423</v>
      </c>
      <c r="H483" s="3" t="s">
        <v>672</v>
      </c>
      <c r="I483" s="3" t="s">
        <v>673</v>
      </c>
      <c r="J483" s="3" t="s">
        <v>674</v>
      </c>
      <c r="K483" s="0" t="n">
        <v>0</v>
      </c>
      <c r="L483" s="0" t="n">
        <v>1000</v>
      </c>
      <c r="M483" s="0" t="n">
        <v>0</v>
      </c>
      <c r="N483" s="0" t="n">
        <v>1000</v>
      </c>
      <c r="O483" s="0" t="n">
        <v>0</v>
      </c>
      <c r="P483" s="0" t="n">
        <v>1000</v>
      </c>
    </row>
    <row r="484" customFormat="false" ht="15" hidden="false" customHeight="false" outlineLevel="0" collapsed="false">
      <c r="A484" s="3" t="s">
        <v>2531</v>
      </c>
      <c r="B484" s="3" t="s">
        <v>2532</v>
      </c>
      <c r="C484" s="3" t="s">
        <v>2533</v>
      </c>
      <c r="D484" s="7" t="n">
        <v>2</v>
      </c>
      <c r="E484" s="3" t="s">
        <v>2534</v>
      </c>
      <c r="G484" s="3" t="s">
        <v>700</v>
      </c>
      <c r="H484" s="3" t="s">
        <v>2535</v>
      </c>
      <c r="I484" s="3" t="s">
        <v>2536</v>
      </c>
      <c r="J484" s="3" t="s">
        <v>2537</v>
      </c>
      <c r="K484" s="0" t="n">
        <v>0</v>
      </c>
      <c r="L484" s="0" t="n">
        <v>1000</v>
      </c>
      <c r="M484" s="0" t="n">
        <v>0</v>
      </c>
      <c r="N484" s="0" t="n">
        <v>1000</v>
      </c>
      <c r="O484" s="0" t="n">
        <v>0</v>
      </c>
      <c r="P484" s="0" t="n">
        <v>1000</v>
      </c>
    </row>
    <row r="485" customFormat="false" ht="15" hidden="false" customHeight="false" outlineLevel="0" collapsed="false">
      <c r="A485" s="3" t="s">
        <v>2538</v>
      </c>
      <c r="B485" s="3" t="s">
        <v>2539</v>
      </c>
      <c r="C485" s="3" t="s">
        <v>2540</v>
      </c>
      <c r="D485" s="7" t="n">
        <v>1</v>
      </c>
      <c r="G485" s="3" t="s">
        <v>139</v>
      </c>
      <c r="K485" s="0" t="n">
        <v>-1000</v>
      </c>
      <c r="L485" s="0" t="n">
        <v>1000</v>
      </c>
      <c r="M485" s="0" t="n">
        <v>-1000</v>
      </c>
      <c r="N485" s="0" t="n">
        <v>1000</v>
      </c>
      <c r="O485" s="0" t="n">
        <v>-1000</v>
      </c>
      <c r="P485" s="0" t="n">
        <v>1000</v>
      </c>
    </row>
    <row r="486" customFormat="false" ht="15" hidden="false" customHeight="false" outlineLevel="0" collapsed="false">
      <c r="A486" s="3" t="s">
        <v>2541</v>
      </c>
      <c r="B486" s="3" t="s">
        <v>2542</v>
      </c>
      <c r="C486" s="3" t="s">
        <v>2543</v>
      </c>
      <c r="D486" s="7" t="n">
        <v>2</v>
      </c>
      <c r="F486" s="7" t="n">
        <v>19077236</v>
      </c>
      <c r="G486" s="3" t="s">
        <v>143</v>
      </c>
      <c r="H486" s="3" t="s">
        <v>2544</v>
      </c>
      <c r="I486" s="3" t="s">
        <v>2545</v>
      </c>
      <c r="J486" s="3" t="s">
        <v>2546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3" t="s">
        <v>2547</v>
      </c>
      <c r="B487" s="3" t="s">
        <v>2548</v>
      </c>
      <c r="C487" s="3" t="s">
        <v>2549</v>
      </c>
      <c r="D487" s="7" t="n">
        <v>2</v>
      </c>
      <c r="E487" s="3" t="s">
        <v>2550</v>
      </c>
      <c r="G487" s="3" t="s">
        <v>308</v>
      </c>
      <c r="H487" s="3" t="s">
        <v>2551</v>
      </c>
      <c r="I487" s="3" t="s">
        <v>2552</v>
      </c>
      <c r="J487" s="3" t="s">
        <v>2553</v>
      </c>
      <c r="K487" s="0" t="n">
        <v>-1000</v>
      </c>
      <c r="L487" s="0" t="n">
        <v>1000</v>
      </c>
      <c r="M487" s="0" t="n">
        <v>-1000</v>
      </c>
      <c r="N487" s="0" t="n">
        <v>1000</v>
      </c>
      <c r="O487" s="0" t="n">
        <v>-1000</v>
      </c>
      <c r="P487" s="0" t="n">
        <v>1000</v>
      </c>
    </row>
    <row r="488" customFormat="false" ht="15" hidden="false" customHeight="false" outlineLevel="0" collapsed="false">
      <c r="A488" s="3" t="s">
        <v>2554</v>
      </c>
      <c r="B488" s="3" t="s">
        <v>2555</v>
      </c>
      <c r="C488" s="3" t="s">
        <v>2556</v>
      </c>
      <c r="D488" s="7" t="n">
        <v>2</v>
      </c>
      <c r="E488" s="3" t="s">
        <v>2557</v>
      </c>
      <c r="G488" s="3" t="s">
        <v>423</v>
      </c>
      <c r="H488" s="3" t="s">
        <v>2558</v>
      </c>
      <c r="I488" s="3" t="s">
        <v>2559</v>
      </c>
      <c r="J488" s="3" t="s">
        <v>2560</v>
      </c>
      <c r="K488" s="0" t="n">
        <v>-1000</v>
      </c>
      <c r="L488" s="0" t="n">
        <v>1000</v>
      </c>
      <c r="M488" s="0" t="n">
        <v>-1000</v>
      </c>
      <c r="N488" s="0" t="n">
        <v>1000</v>
      </c>
      <c r="O488" s="0" t="n">
        <v>-1000</v>
      </c>
      <c r="P488" s="0" t="n">
        <v>1000</v>
      </c>
    </row>
    <row r="489" customFormat="false" ht="15" hidden="false" customHeight="false" outlineLevel="0" collapsed="false">
      <c r="A489" s="3" t="s">
        <v>2561</v>
      </c>
      <c r="B489" s="3" t="s">
        <v>2562</v>
      </c>
      <c r="C489" s="3" t="s">
        <v>2563</v>
      </c>
      <c r="D489" s="7" t="n">
        <v>2</v>
      </c>
      <c r="E489" s="3" t="s">
        <v>2564</v>
      </c>
      <c r="G489" s="3" t="s">
        <v>308</v>
      </c>
      <c r="H489" s="3" t="s">
        <v>2565</v>
      </c>
      <c r="I489" s="3" t="s">
        <v>2566</v>
      </c>
      <c r="J489" s="3" t="s">
        <v>2567</v>
      </c>
      <c r="K489" s="0" t="n">
        <v>0</v>
      </c>
      <c r="L489" s="0" t="n">
        <v>1000</v>
      </c>
      <c r="M489" s="0" t="n">
        <v>0</v>
      </c>
      <c r="N489" s="0" t="n">
        <v>1000</v>
      </c>
      <c r="O489" s="0" t="n">
        <v>0</v>
      </c>
      <c r="P489" s="0" t="n">
        <v>1000</v>
      </c>
    </row>
    <row r="490" customFormat="false" ht="15" hidden="false" customHeight="false" outlineLevel="0" collapsed="false">
      <c r="A490" s="3" t="s">
        <v>2568</v>
      </c>
      <c r="B490" s="3" t="s">
        <v>2569</v>
      </c>
      <c r="C490" s="3" t="s">
        <v>2570</v>
      </c>
      <c r="D490" s="7" t="n">
        <v>2</v>
      </c>
      <c r="E490" s="3" t="s">
        <v>2571</v>
      </c>
      <c r="G490" s="3" t="s">
        <v>537</v>
      </c>
      <c r="H490" s="3" t="s">
        <v>2572</v>
      </c>
      <c r="I490" s="3" t="s">
        <v>2573</v>
      </c>
      <c r="J490" s="3" t="s">
        <v>2574</v>
      </c>
      <c r="K490" s="0" t="n">
        <v>0</v>
      </c>
      <c r="L490" s="0" t="n">
        <v>1000</v>
      </c>
      <c r="M490" s="0" t="n">
        <v>0</v>
      </c>
      <c r="N490" s="0" t="n">
        <v>1000</v>
      </c>
      <c r="O490" s="0" t="n">
        <v>0</v>
      </c>
      <c r="P490" s="0" t="n">
        <v>1000</v>
      </c>
    </row>
    <row r="491" customFormat="false" ht="15" hidden="false" customHeight="false" outlineLevel="0" collapsed="false">
      <c r="A491" s="3" t="s">
        <v>2575</v>
      </c>
      <c r="B491" s="3" t="s">
        <v>2576</v>
      </c>
      <c r="C491" s="3" t="s">
        <v>2577</v>
      </c>
      <c r="D491" s="7" t="n">
        <v>2</v>
      </c>
      <c r="E491" s="3" t="s">
        <v>2578</v>
      </c>
      <c r="G491" s="3" t="s">
        <v>308</v>
      </c>
      <c r="H491" s="3" t="s">
        <v>2579</v>
      </c>
      <c r="I491" s="3" t="s">
        <v>2580</v>
      </c>
      <c r="J491" s="3" t="s">
        <v>2581</v>
      </c>
      <c r="K491" s="0" t="n">
        <v>-1000</v>
      </c>
      <c r="L491" s="0" t="n">
        <v>1000</v>
      </c>
      <c r="M491" s="0" t="n">
        <v>-1000</v>
      </c>
      <c r="N491" s="0" t="n">
        <v>1000</v>
      </c>
      <c r="O491" s="0" t="n">
        <v>-1000</v>
      </c>
      <c r="P491" s="0" t="n">
        <v>1000</v>
      </c>
    </row>
    <row r="492" customFormat="false" ht="15" hidden="false" customHeight="false" outlineLevel="0" collapsed="false">
      <c r="A492" s="3" t="s">
        <v>2582</v>
      </c>
      <c r="B492" s="3" t="s">
        <v>2583</v>
      </c>
      <c r="C492" s="3" t="s">
        <v>2584</v>
      </c>
      <c r="D492" s="7" t="n">
        <v>2</v>
      </c>
      <c r="E492" s="3" t="s">
        <v>2585</v>
      </c>
      <c r="G492" s="3" t="s">
        <v>537</v>
      </c>
      <c r="H492" s="3" t="s">
        <v>2572</v>
      </c>
      <c r="I492" s="3" t="s">
        <v>2573</v>
      </c>
      <c r="J492" s="3" t="s">
        <v>2574</v>
      </c>
      <c r="K492" s="0" t="n">
        <v>0</v>
      </c>
      <c r="L492" s="0" t="n">
        <v>1000</v>
      </c>
      <c r="M492" s="0" t="n">
        <v>0</v>
      </c>
      <c r="N492" s="0" t="n">
        <v>1000</v>
      </c>
      <c r="O492" s="0" t="n">
        <v>0</v>
      </c>
      <c r="P492" s="0" t="n">
        <v>1000</v>
      </c>
    </row>
    <row r="493" customFormat="false" ht="15" hidden="false" customHeight="false" outlineLevel="0" collapsed="false">
      <c r="A493" s="3" t="s">
        <v>2586</v>
      </c>
      <c r="B493" s="3" t="s">
        <v>2587</v>
      </c>
      <c r="C493" s="3" t="s">
        <v>2588</v>
      </c>
      <c r="D493" s="7" t="n">
        <v>2</v>
      </c>
      <c r="E493" s="3" t="s">
        <v>2589</v>
      </c>
      <c r="G493" s="3" t="s">
        <v>308</v>
      </c>
      <c r="H493" s="3" t="s">
        <v>2590</v>
      </c>
      <c r="I493" s="3" t="s">
        <v>2591</v>
      </c>
      <c r="J493" s="3" t="s">
        <v>2592</v>
      </c>
      <c r="K493" s="0" t="n">
        <v>0</v>
      </c>
      <c r="L493" s="0" t="n">
        <v>1000</v>
      </c>
      <c r="M493" s="0" t="n">
        <v>0</v>
      </c>
      <c r="N493" s="0" t="n">
        <v>1000</v>
      </c>
      <c r="O493" s="0" t="n">
        <v>0</v>
      </c>
      <c r="P493" s="0" t="n">
        <v>1000</v>
      </c>
    </row>
    <row r="494" customFormat="false" ht="15" hidden="false" customHeight="false" outlineLevel="0" collapsed="false">
      <c r="A494" s="3" t="s">
        <v>2593</v>
      </c>
      <c r="B494" s="3" t="s">
        <v>2594</v>
      </c>
      <c r="C494" s="3" t="s">
        <v>2595</v>
      </c>
      <c r="D494" s="7" t="n">
        <v>2</v>
      </c>
      <c r="E494" s="3" t="s">
        <v>2596</v>
      </c>
      <c r="G494" s="3" t="s">
        <v>537</v>
      </c>
      <c r="H494" s="3" t="s">
        <v>2597</v>
      </c>
      <c r="I494" s="3" t="s">
        <v>2598</v>
      </c>
      <c r="J494" s="3" t="s">
        <v>2599</v>
      </c>
      <c r="K494" s="0" t="n">
        <v>0</v>
      </c>
      <c r="L494" s="0" t="n">
        <v>1000</v>
      </c>
      <c r="M494" s="0" t="n">
        <v>0</v>
      </c>
      <c r="N494" s="0" t="n">
        <v>1000</v>
      </c>
      <c r="O494" s="0" t="n">
        <v>0</v>
      </c>
      <c r="P494" s="0" t="n">
        <v>1000</v>
      </c>
    </row>
    <row r="495" customFormat="false" ht="15" hidden="false" customHeight="false" outlineLevel="0" collapsed="false">
      <c r="A495" s="3" t="s">
        <v>2600</v>
      </c>
      <c r="B495" s="3" t="s">
        <v>2601</v>
      </c>
      <c r="C495" s="3" t="s">
        <v>2602</v>
      </c>
      <c r="D495" s="7" t="n">
        <v>2</v>
      </c>
      <c r="E495" s="3" t="s">
        <v>2603</v>
      </c>
      <c r="G495" s="3" t="s">
        <v>537</v>
      </c>
      <c r="H495" s="3" t="s">
        <v>2604</v>
      </c>
      <c r="I495" s="3" t="s">
        <v>2605</v>
      </c>
      <c r="J495" s="3" t="s">
        <v>2606</v>
      </c>
      <c r="K495" s="0" t="n">
        <v>0</v>
      </c>
      <c r="L495" s="0" t="n">
        <v>1000</v>
      </c>
      <c r="M495" s="0" t="n">
        <v>0</v>
      </c>
      <c r="N495" s="0" t="n">
        <v>1000</v>
      </c>
      <c r="O495" s="0" t="n">
        <v>0</v>
      </c>
      <c r="P495" s="0" t="n">
        <v>1000</v>
      </c>
    </row>
    <row r="496" customFormat="false" ht="15" hidden="false" customHeight="false" outlineLevel="0" collapsed="false">
      <c r="A496" s="3" t="s">
        <v>2607</v>
      </c>
      <c r="B496" s="3" t="s">
        <v>2608</v>
      </c>
      <c r="C496" s="3" t="s">
        <v>2609</v>
      </c>
      <c r="D496" s="7" t="n">
        <v>2</v>
      </c>
      <c r="E496" s="3" t="s">
        <v>2610</v>
      </c>
      <c r="F496" s="7" t="n">
        <v>19077236</v>
      </c>
      <c r="G496" s="3" t="s">
        <v>1217</v>
      </c>
      <c r="H496" s="3" t="s">
        <v>2611</v>
      </c>
      <c r="I496" s="3" t="s">
        <v>2612</v>
      </c>
      <c r="J496" s="3" t="s">
        <v>2613</v>
      </c>
      <c r="K496" s="0" t="n">
        <v>0</v>
      </c>
      <c r="L496" s="0" t="n">
        <v>1000</v>
      </c>
      <c r="M496" s="0" t="n">
        <v>0</v>
      </c>
      <c r="N496" s="0" t="n">
        <v>1000</v>
      </c>
      <c r="O496" s="0" t="n">
        <v>0</v>
      </c>
      <c r="P496" s="0" t="n">
        <v>1000</v>
      </c>
    </row>
    <row r="497" customFormat="false" ht="15" hidden="false" customHeight="false" outlineLevel="0" collapsed="false">
      <c r="A497" s="3" t="s">
        <v>2614</v>
      </c>
      <c r="B497" s="3" t="s">
        <v>2615</v>
      </c>
      <c r="C497" s="3" t="s">
        <v>2616</v>
      </c>
      <c r="D497" s="7" t="n">
        <v>2</v>
      </c>
      <c r="E497" s="3" t="s">
        <v>2617</v>
      </c>
      <c r="G497" s="3" t="s">
        <v>423</v>
      </c>
      <c r="H497" s="3" t="s">
        <v>2618</v>
      </c>
      <c r="I497" s="3" t="s">
        <v>2619</v>
      </c>
      <c r="J497" s="3" t="s">
        <v>2620</v>
      </c>
      <c r="K497" s="0" t="n">
        <v>-1000</v>
      </c>
      <c r="L497" s="0" t="n">
        <v>1000</v>
      </c>
      <c r="M497" s="0" t="n">
        <v>-1000</v>
      </c>
      <c r="N497" s="0" t="n">
        <v>1000</v>
      </c>
      <c r="O497" s="0" t="n">
        <v>-1000</v>
      </c>
      <c r="P497" s="0" t="n">
        <v>1000</v>
      </c>
    </row>
    <row r="498" customFormat="false" ht="15" hidden="false" customHeight="false" outlineLevel="0" collapsed="false">
      <c r="A498" s="3" t="s">
        <v>2621</v>
      </c>
      <c r="B498" s="3" t="s">
        <v>2463</v>
      </c>
      <c r="C498" s="3" t="s">
        <v>2622</v>
      </c>
      <c r="D498" s="7" t="n">
        <v>2</v>
      </c>
      <c r="E498" s="3" t="s">
        <v>2623</v>
      </c>
      <c r="G498" s="3" t="s">
        <v>2466</v>
      </c>
      <c r="H498" s="3" t="s">
        <v>2624</v>
      </c>
      <c r="I498" s="3" t="s">
        <v>2625</v>
      </c>
      <c r="J498" s="3" t="s">
        <v>2624</v>
      </c>
      <c r="K498" s="0" t="n">
        <v>-1000</v>
      </c>
      <c r="L498" s="0" t="n">
        <v>1000</v>
      </c>
      <c r="M498" s="0" t="n">
        <v>-1000</v>
      </c>
      <c r="N498" s="0" t="n">
        <v>1000</v>
      </c>
      <c r="O498" s="0" t="n">
        <v>-1000</v>
      </c>
      <c r="P498" s="0" t="n">
        <v>1000</v>
      </c>
    </row>
    <row r="499" customFormat="false" ht="15" hidden="false" customHeight="false" outlineLevel="0" collapsed="false">
      <c r="A499" s="3" t="s">
        <v>2626</v>
      </c>
      <c r="B499" s="3" t="s">
        <v>2627</v>
      </c>
      <c r="C499" s="3" t="s">
        <v>2628</v>
      </c>
      <c r="D499" s="7" t="n">
        <v>2</v>
      </c>
      <c r="E499" s="3" t="s">
        <v>2230</v>
      </c>
      <c r="G499" s="3" t="s">
        <v>1395</v>
      </c>
      <c r="H499" s="3" t="s">
        <v>2231</v>
      </c>
      <c r="I499" s="3" t="s">
        <v>2232</v>
      </c>
      <c r="J499" s="3" t="s">
        <v>2233</v>
      </c>
      <c r="K499" s="0" t="n">
        <v>-1000</v>
      </c>
      <c r="L499" s="0" t="n">
        <v>1000</v>
      </c>
      <c r="M499" s="0" t="n">
        <v>-1000</v>
      </c>
      <c r="N499" s="0" t="n">
        <v>1000</v>
      </c>
      <c r="O499" s="0" t="n">
        <v>-1000</v>
      </c>
      <c r="P499" s="0" t="n">
        <v>1000</v>
      </c>
    </row>
    <row r="500" customFormat="false" ht="15" hidden="false" customHeight="false" outlineLevel="0" collapsed="false">
      <c r="A500" s="3" t="s">
        <v>2629</v>
      </c>
      <c r="B500" s="3" t="s">
        <v>2630</v>
      </c>
      <c r="C500" s="3" t="s">
        <v>2631</v>
      </c>
      <c r="D500" s="7" t="n">
        <v>2</v>
      </c>
      <c r="E500" s="3" t="s">
        <v>2632</v>
      </c>
      <c r="F500" s="7" t="n">
        <v>10737802</v>
      </c>
      <c r="G500" s="3" t="s">
        <v>1395</v>
      </c>
      <c r="H500" s="3" t="s">
        <v>2633</v>
      </c>
      <c r="I500" s="3" t="s">
        <v>2634</v>
      </c>
      <c r="J500" s="3" t="s">
        <v>2635</v>
      </c>
      <c r="K500" s="0" t="n">
        <v>0</v>
      </c>
      <c r="L500" s="0" t="n">
        <v>1000</v>
      </c>
      <c r="M500" s="0" t="n">
        <v>0</v>
      </c>
      <c r="N500" s="0" t="n">
        <v>1000</v>
      </c>
      <c r="O500" s="0" t="n">
        <v>0</v>
      </c>
      <c r="P500" s="0" t="n">
        <v>1000</v>
      </c>
    </row>
    <row r="501" customFormat="false" ht="15" hidden="false" customHeight="false" outlineLevel="0" collapsed="false">
      <c r="A501" s="3" t="s">
        <v>2636</v>
      </c>
      <c r="B501" s="3" t="s">
        <v>2637</v>
      </c>
      <c r="C501" s="3" t="s">
        <v>2638</v>
      </c>
      <c r="D501" s="7" t="n">
        <v>2</v>
      </c>
      <c r="E501" s="3" t="s">
        <v>2639</v>
      </c>
      <c r="G501" s="3" t="s">
        <v>2466</v>
      </c>
      <c r="H501" s="3" t="s">
        <v>2640</v>
      </c>
      <c r="I501" s="3" t="s">
        <v>2641</v>
      </c>
      <c r="J501" s="3" t="s">
        <v>2640</v>
      </c>
      <c r="K501" s="0" t="n">
        <v>-1000</v>
      </c>
      <c r="L501" s="0" t="n">
        <v>1000</v>
      </c>
      <c r="M501" s="0" t="n">
        <v>-1000</v>
      </c>
      <c r="N501" s="0" t="n">
        <v>1000</v>
      </c>
      <c r="O501" s="0" t="n">
        <v>-1000</v>
      </c>
      <c r="P501" s="0" t="n">
        <v>1000</v>
      </c>
    </row>
    <row r="502" customFormat="false" ht="15" hidden="false" customHeight="false" outlineLevel="0" collapsed="false">
      <c r="A502" s="3" t="s">
        <v>2642</v>
      </c>
      <c r="B502" s="3" t="s">
        <v>2643</v>
      </c>
      <c r="C502" s="3" t="s">
        <v>2644</v>
      </c>
      <c r="D502" s="7" t="n">
        <v>2</v>
      </c>
      <c r="E502" s="3" t="s">
        <v>2645</v>
      </c>
      <c r="G502" s="3" t="s">
        <v>1020</v>
      </c>
      <c r="H502" s="3" t="s">
        <v>2646</v>
      </c>
      <c r="I502" s="3" t="s">
        <v>2647</v>
      </c>
      <c r="J502" s="3" t="s">
        <v>2648</v>
      </c>
      <c r="K502" s="0" t="n">
        <v>-1000</v>
      </c>
      <c r="L502" s="0" t="n">
        <v>1000</v>
      </c>
      <c r="M502" s="0" t="n">
        <v>-1000</v>
      </c>
      <c r="N502" s="0" t="n">
        <v>1000</v>
      </c>
      <c r="O502" s="0" t="n">
        <v>-1000</v>
      </c>
      <c r="P502" s="0" t="n">
        <v>1000</v>
      </c>
    </row>
    <row r="503" customFormat="false" ht="15" hidden="false" customHeight="false" outlineLevel="0" collapsed="false">
      <c r="A503" s="3" t="s">
        <v>2649</v>
      </c>
      <c r="B503" s="3" t="s">
        <v>2650</v>
      </c>
      <c r="C503" s="3" t="s">
        <v>2651</v>
      </c>
      <c r="D503" s="7" t="n">
        <v>1</v>
      </c>
      <c r="E503" s="3" t="s">
        <v>2652</v>
      </c>
      <c r="G503" s="3" t="s">
        <v>251</v>
      </c>
      <c r="K503" s="0" t="n">
        <v>-1000</v>
      </c>
      <c r="L503" s="0" t="n">
        <v>1000</v>
      </c>
      <c r="M503" s="0" t="n">
        <v>-1000</v>
      </c>
      <c r="N503" s="0" t="n">
        <v>1000</v>
      </c>
      <c r="O503" s="0" t="n">
        <v>-1000</v>
      </c>
      <c r="P503" s="0" t="n">
        <v>1000</v>
      </c>
    </row>
    <row r="504" customFormat="false" ht="15" hidden="false" customHeight="false" outlineLevel="0" collapsed="false">
      <c r="A504" s="3" t="s">
        <v>2653</v>
      </c>
      <c r="B504" s="3" t="s">
        <v>2654</v>
      </c>
      <c r="C504" s="3" t="s">
        <v>2655</v>
      </c>
      <c r="D504" s="7" t="n">
        <v>1</v>
      </c>
      <c r="E504" s="3" t="s">
        <v>2652</v>
      </c>
      <c r="G504" s="3" t="s">
        <v>251</v>
      </c>
      <c r="K504" s="0" t="n">
        <v>-1000</v>
      </c>
      <c r="L504" s="0" t="n">
        <v>1000</v>
      </c>
      <c r="M504" s="0" t="n">
        <v>-1000</v>
      </c>
      <c r="N504" s="0" t="n">
        <v>1000</v>
      </c>
      <c r="O504" s="0" t="n">
        <v>-1000</v>
      </c>
      <c r="P504" s="0" t="n">
        <v>1000</v>
      </c>
    </row>
    <row r="505" customFormat="false" ht="15" hidden="false" customHeight="false" outlineLevel="0" collapsed="false">
      <c r="A505" s="3" t="s">
        <v>2656</v>
      </c>
      <c r="B505" s="3" t="s">
        <v>2657</v>
      </c>
      <c r="C505" s="3" t="s">
        <v>2658</v>
      </c>
      <c r="D505" s="7" t="n">
        <v>1</v>
      </c>
      <c r="E505" s="3" t="s">
        <v>2652</v>
      </c>
      <c r="G505" s="3" t="s">
        <v>251</v>
      </c>
      <c r="K505" s="0" t="n">
        <v>-1000</v>
      </c>
      <c r="L505" s="0" t="n">
        <v>1000</v>
      </c>
      <c r="M505" s="0" t="n">
        <v>-1000</v>
      </c>
      <c r="N505" s="0" t="n">
        <v>1000</v>
      </c>
      <c r="O505" s="0" t="n">
        <v>-1000</v>
      </c>
      <c r="P505" s="0" t="n">
        <v>1000</v>
      </c>
    </row>
    <row r="506" customFormat="false" ht="15" hidden="false" customHeight="false" outlineLevel="0" collapsed="false">
      <c r="A506" s="3" t="s">
        <v>2659</v>
      </c>
      <c r="B506" s="3" t="s">
        <v>2660</v>
      </c>
      <c r="C506" s="3" t="s">
        <v>2661</v>
      </c>
      <c r="D506" s="7" t="n">
        <v>1</v>
      </c>
      <c r="E506" s="3" t="s">
        <v>2652</v>
      </c>
      <c r="G506" s="3" t="s">
        <v>251</v>
      </c>
      <c r="K506" s="0" t="n">
        <v>-1000</v>
      </c>
      <c r="L506" s="0" t="n">
        <v>1000</v>
      </c>
      <c r="M506" s="0" t="n">
        <v>-1000</v>
      </c>
      <c r="N506" s="0" t="n">
        <v>1000</v>
      </c>
      <c r="O506" s="0" t="n">
        <v>-1000</v>
      </c>
      <c r="P506" s="0" t="n">
        <v>1000</v>
      </c>
    </row>
    <row r="507" customFormat="false" ht="15" hidden="false" customHeight="false" outlineLevel="0" collapsed="false">
      <c r="A507" s="3" t="s">
        <v>2662</v>
      </c>
      <c r="B507" s="3" t="s">
        <v>2663</v>
      </c>
      <c r="C507" s="3" t="s">
        <v>2664</v>
      </c>
      <c r="D507" s="7" t="n">
        <v>2</v>
      </c>
      <c r="E507" s="3" t="s">
        <v>2332</v>
      </c>
      <c r="G507" s="3" t="s">
        <v>2333</v>
      </c>
      <c r="H507" s="3" t="s">
        <v>2334</v>
      </c>
      <c r="I507" s="3" t="s">
        <v>2335</v>
      </c>
      <c r="J507" s="3" t="s">
        <v>2336</v>
      </c>
      <c r="K507" s="0" t="n">
        <v>-1000</v>
      </c>
      <c r="L507" s="0" t="n">
        <v>1000</v>
      </c>
      <c r="M507" s="0" t="n">
        <v>-1000</v>
      </c>
      <c r="N507" s="0" t="n">
        <v>1000</v>
      </c>
      <c r="O507" s="0" t="n">
        <v>-1000</v>
      </c>
      <c r="P507" s="0" t="n">
        <v>1000</v>
      </c>
    </row>
    <row r="508" customFormat="false" ht="15" hidden="false" customHeight="false" outlineLevel="0" collapsed="false">
      <c r="A508" s="3" t="s">
        <v>2665</v>
      </c>
      <c r="B508" s="3" t="s">
        <v>2666</v>
      </c>
      <c r="C508" s="3" t="s">
        <v>2667</v>
      </c>
      <c r="D508" s="7" t="n">
        <v>1</v>
      </c>
      <c r="E508" s="3" t="s">
        <v>2668</v>
      </c>
      <c r="G508" s="3" t="s">
        <v>230</v>
      </c>
      <c r="K508" s="0" t="n">
        <v>-1000</v>
      </c>
      <c r="L508" s="0" t="n">
        <v>1000</v>
      </c>
      <c r="M508" s="0" t="n">
        <v>-1000</v>
      </c>
      <c r="N508" s="0" t="n">
        <v>1000</v>
      </c>
      <c r="O508" s="0" t="n">
        <v>-1000</v>
      </c>
      <c r="P508" s="0" t="n">
        <v>1000</v>
      </c>
    </row>
    <row r="509" customFormat="false" ht="15" hidden="false" customHeight="false" outlineLevel="0" collapsed="false">
      <c r="A509" s="3" t="s">
        <v>2669</v>
      </c>
      <c r="B509" s="3" t="s">
        <v>2670</v>
      </c>
      <c r="C509" s="3" t="s">
        <v>2671</v>
      </c>
      <c r="D509" s="7" t="n">
        <v>1</v>
      </c>
      <c r="E509" s="3" t="s">
        <v>2668</v>
      </c>
      <c r="G509" s="3" t="s">
        <v>230</v>
      </c>
      <c r="K509" s="0" t="n">
        <v>-1000</v>
      </c>
      <c r="L509" s="0" t="n">
        <v>1000</v>
      </c>
      <c r="M509" s="0" t="n">
        <v>-1000</v>
      </c>
      <c r="N509" s="0" t="n">
        <v>1000</v>
      </c>
      <c r="O509" s="0" t="n">
        <v>-1000</v>
      </c>
      <c r="P509" s="0" t="n">
        <v>1000</v>
      </c>
    </row>
    <row r="510" customFormat="false" ht="15" hidden="false" customHeight="false" outlineLevel="0" collapsed="false">
      <c r="A510" s="3" t="s">
        <v>2672</v>
      </c>
      <c r="B510" s="3" t="s">
        <v>2673</v>
      </c>
      <c r="C510" s="3" t="s">
        <v>2674</v>
      </c>
      <c r="D510" s="7" t="n">
        <v>1</v>
      </c>
      <c r="E510" s="3" t="s">
        <v>2668</v>
      </c>
      <c r="G510" s="3" t="s">
        <v>230</v>
      </c>
      <c r="K510" s="0" t="n">
        <v>-1000</v>
      </c>
      <c r="L510" s="0" t="n">
        <v>1000</v>
      </c>
      <c r="M510" s="0" t="n">
        <v>-1000</v>
      </c>
      <c r="N510" s="0" t="n">
        <v>1000</v>
      </c>
      <c r="O510" s="0" t="n">
        <v>-1000</v>
      </c>
      <c r="P510" s="0" t="n">
        <v>1000</v>
      </c>
    </row>
    <row r="511" customFormat="false" ht="15" hidden="false" customHeight="false" outlineLevel="0" collapsed="false">
      <c r="A511" s="3" t="s">
        <v>2675</v>
      </c>
      <c r="B511" s="3" t="s">
        <v>2676</v>
      </c>
      <c r="C511" s="3" t="s">
        <v>2677</v>
      </c>
      <c r="D511" s="7" t="n">
        <v>2</v>
      </c>
      <c r="E511" s="3" t="s">
        <v>2678</v>
      </c>
      <c r="F511" s="7" t="n">
        <v>19077236</v>
      </c>
      <c r="G511" s="3" t="s">
        <v>556</v>
      </c>
      <c r="H511" s="3" t="s">
        <v>2679</v>
      </c>
      <c r="I511" s="3" t="s">
        <v>2680</v>
      </c>
      <c r="J511" s="3" t="s">
        <v>2681</v>
      </c>
      <c r="K511" s="0" t="n">
        <v>0</v>
      </c>
      <c r="L511" s="0" t="n">
        <v>1000</v>
      </c>
      <c r="M511" s="0" t="n">
        <v>0</v>
      </c>
      <c r="N511" s="0" t="n">
        <v>1000</v>
      </c>
      <c r="O511" s="0" t="n">
        <v>0</v>
      </c>
      <c r="P511" s="0" t="n">
        <v>1000</v>
      </c>
    </row>
    <row r="512" customFormat="false" ht="15" hidden="false" customHeight="false" outlineLevel="0" collapsed="false">
      <c r="A512" s="3" t="s">
        <v>2682</v>
      </c>
      <c r="C512" s="3" t="s">
        <v>2683</v>
      </c>
      <c r="D512" s="7" t="n">
        <v>1</v>
      </c>
      <c r="G512" s="3" t="s">
        <v>2684</v>
      </c>
      <c r="K512" s="0" t="n">
        <v>-1000</v>
      </c>
      <c r="L512" s="0" t="n">
        <v>1000</v>
      </c>
      <c r="M512" s="0" t="n">
        <v>-1000</v>
      </c>
      <c r="N512" s="0" t="n">
        <v>1000</v>
      </c>
      <c r="O512" s="0" t="n">
        <v>-1000</v>
      </c>
      <c r="P512" s="0" t="n">
        <v>1000</v>
      </c>
    </row>
    <row r="513" customFormat="false" ht="15" hidden="false" customHeight="false" outlineLevel="0" collapsed="false">
      <c r="A513" s="3" t="s">
        <v>2685</v>
      </c>
      <c r="B513" s="3" t="s">
        <v>2686</v>
      </c>
      <c r="C513" s="3" t="s">
        <v>2687</v>
      </c>
      <c r="D513" s="7" t="n">
        <v>1</v>
      </c>
      <c r="G513" s="3" t="s">
        <v>139</v>
      </c>
      <c r="K513" s="0" t="n">
        <v>-1000</v>
      </c>
      <c r="L513" s="0" t="n">
        <v>1000</v>
      </c>
      <c r="M513" s="0" t="n">
        <v>-1000</v>
      </c>
      <c r="N513" s="0" t="n">
        <v>1000</v>
      </c>
      <c r="O513" s="0" t="n">
        <v>-1000</v>
      </c>
      <c r="P513" s="0" t="n">
        <v>1000</v>
      </c>
    </row>
    <row r="514" customFormat="false" ht="15" hidden="false" customHeight="false" outlineLevel="0" collapsed="false">
      <c r="A514" s="3" t="s">
        <v>2688</v>
      </c>
      <c r="B514" s="3" t="s">
        <v>2689</v>
      </c>
      <c r="C514" s="3" t="s">
        <v>2690</v>
      </c>
      <c r="D514" s="7" t="n">
        <v>2</v>
      </c>
      <c r="F514" s="7" t="n">
        <v>19077236</v>
      </c>
      <c r="G514" s="3" t="s">
        <v>143</v>
      </c>
      <c r="H514" s="3" t="s">
        <v>2691</v>
      </c>
      <c r="I514" s="3" t="s">
        <v>2692</v>
      </c>
      <c r="J514" s="3" t="s">
        <v>2693</v>
      </c>
      <c r="K514" s="0" t="n">
        <v>0</v>
      </c>
      <c r="L514" s="0" t="n">
        <v>1000</v>
      </c>
      <c r="M514" s="0" t="n">
        <v>0</v>
      </c>
      <c r="N514" s="0" t="n">
        <v>1000</v>
      </c>
      <c r="O514" s="0" t="n">
        <v>0</v>
      </c>
      <c r="P514" s="0" t="n">
        <v>1000</v>
      </c>
    </row>
    <row r="515" customFormat="false" ht="15" hidden="false" customHeight="false" outlineLevel="0" collapsed="false">
      <c r="A515" s="3" t="s">
        <v>2694</v>
      </c>
      <c r="B515" s="3" t="s">
        <v>2695</v>
      </c>
      <c r="C515" s="3" t="s">
        <v>2696</v>
      </c>
      <c r="D515" s="7" t="n">
        <v>2</v>
      </c>
      <c r="E515" s="3" t="s">
        <v>2697</v>
      </c>
      <c r="G515" s="3" t="s">
        <v>516</v>
      </c>
      <c r="H515" s="3" t="s">
        <v>2698</v>
      </c>
      <c r="I515" s="3" t="s">
        <v>2699</v>
      </c>
      <c r="J515" s="3" t="s">
        <v>2700</v>
      </c>
      <c r="K515" s="0" t="n">
        <v>-1000</v>
      </c>
      <c r="L515" s="0" t="n">
        <v>1000</v>
      </c>
      <c r="M515" s="0" t="n">
        <v>-1000</v>
      </c>
      <c r="N515" s="0" t="n">
        <v>1000</v>
      </c>
      <c r="O515" s="0" t="n">
        <v>-1000</v>
      </c>
      <c r="P515" s="0" t="n">
        <v>1000</v>
      </c>
    </row>
    <row r="516" customFormat="false" ht="15" hidden="false" customHeight="false" outlineLevel="0" collapsed="false">
      <c r="A516" s="3" t="s">
        <v>2701</v>
      </c>
      <c r="B516" s="3" t="s">
        <v>2702</v>
      </c>
      <c r="C516" s="3" t="s">
        <v>2703</v>
      </c>
      <c r="D516" s="7" t="n">
        <v>2</v>
      </c>
      <c r="E516" s="3" t="s">
        <v>2704</v>
      </c>
      <c r="G516" s="3" t="s">
        <v>446</v>
      </c>
      <c r="H516" s="3" t="s">
        <v>1269</v>
      </c>
      <c r="I516" s="3" t="s">
        <v>1270</v>
      </c>
      <c r="J516" s="3" t="s">
        <v>1271</v>
      </c>
      <c r="K516" s="0" t="n">
        <v>0</v>
      </c>
      <c r="L516" s="0" t="n">
        <v>1000</v>
      </c>
      <c r="M516" s="0" t="n">
        <v>0</v>
      </c>
      <c r="N516" s="0" t="n">
        <v>1000</v>
      </c>
      <c r="O516" s="0" t="n">
        <v>0</v>
      </c>
      <c r="P516" s="0" t="n">
        <v>1000</v>
      </c>
    </row>
    <row r="517" customFormat="false" ht="15" hidden="false" customHeight="false" outlineLevel="0" collapsed="false">
      <c r="A517" s="3" t="s">
        <v>2705</v>
      </c>
      <c r="B517" s="3" t="s">
        <v>2706</v>
      </c>
      <c r="C517" s="3" t="s">
        <v>2707</v>
      </c>
      <c r="D517" s="7" t="n">
        <v>2</v>
      </c>
      <c r="E517" s="3" t="s">
        <v>2708</v>
      </c>
      <c r="G517" s="3" t="s">
        <v>446</v>
      </c>
      <c r="H517" s="3" t="s">
        <v>2709</v>
      </c>
      <c r="I517" s="3" t="s">
        <v>2710</v>
      </c>
      <c r="J517" s="3" t="s">
        <v>2711</v>
      </c>
      <c r="K517" s="0" t="n">
        <v>0</v>
      </c>
      <c r="L517" s="0" t="n">
        <v>1000</v>
      </c>
      <c r="M517" s="0" t="n">
        <v>0</v>
      </c>
      <c r="N517" s="0" t="n">
        <v>1000</v>
      </c>
      <c r="O517" s="0" t="n">
        <v>0</v>
      </c>
      <c r="P517" s="0" t="n">
        <v>1000</v>
      </c>
    </row>
    <row r="518" customFormat="false" ht="15" hidden="false" customHeight="false" outlineLevel="0" collapsed="false">
      <c r="A518" s="3" t="s">
        <v>2712</v>
      </c>
      <c r="B518" s="3" t="s">
        <v>2706</v>
      </c>
      <c r="C518" s="3" t="s">
        <v>2713</v>
      </c>
      <c r="D518" s="7" t="n">
        <v>2</v>
      </c>
      <c r="E518" s="3" t="s">
        <v>2714</v>
      </c>
      <c r="G518" s="3" t="s">
        <v>446</v>
      </c>
      <c r="H518" s="3" t="s">
        <v>2715</v>
      </c>
      <c r="I518" s="3" t="s">
        <v>2716</v>
      </c>
      <c r="J518" s="3" t="s">
        <v>2717</v>
      </c>
      <c r="K518" s="0" t="n">
        <v>-1000</v>
      </c>
      <c r="L518" s="0" t="n">
        <v>1000</v>
      </c>
      <c r="M518" s="0" t="n">
        <v>-1000</v>
      </c>
      <c r="N518" s="0" t="n">
        <v>1000</v>
      </c>
      <c r="O518" s="0" t="n">
        <v>-1000</v>
      </c>
      <c r="P518" s="0" t="n">
        <v>1000</v>
      </c>
    </row>
    <row r="519" customFormat="false" ht="15" hidden="false" customHeight="false" outlineLevel="0" collapsed="false">
      <c r="A519" s="3" t="s">
        <v>2718</v>
      </c>
      <c r="B519" s="3" t="s">
        <v>2719</v>
      </c>
      <c r="C519" s="3" t="s">
        <v>2720</v>
      </c>
      <c r="D519" s="7" t="n">
        <v>1</v>
      </c>
      <c r="E519" s="3" t="s">
        <v>2721</v>
      </c>
      <c r="G519" s="3" t="s">
        <v>287</v>
      </c>
      <c r="K519" s="0" t="n">
        <v>0</v>
      </c>
      <c r="L519" s="0" t="n">
        <v>1000</v>
      </c>
      <c r="M519" s="0" t="n">
        <v>0</v>
      </c>
      <c r="N519" s="0" t="n">
        <v>1000</v>
      </c>
      <c r="O519" s="0" t="n">
        <v>0</v>
      </c>
      <c r="P519" s="0" t="n">
        <v>1000</v>
      </c>
    </row>
    <row r="520" customFormat="false" ht="15" hidden="false" customHeight="false" outlineLevel="0" collapsed="false">
      <c r="A520" s="3" t="s">
        <v>2722</v>
      </c>
      <c r="C520" s="3" t="s">
        <v>2723</v>
      </c>
      <c r="D520" s="7" t="n">
        <v>1</v>
      </c>
      <c r="G520" s="3" t="s">
        <v>2724</v>
      </c>
      <c r="K520" s="0" t="n">
        <v>-1000</v>
      </c>
      <c r="L520" s="0" t="n">
        <v>1000</v>
      </c>
      <c r="M520" s="0" t="n">
        <v>-1000</v>
      </c>
      <c r="N520" s="0" t="n">
        <v>1000</v>
      </c>
      <c r="O520" s="0" t="n">
        <v>-1000</v>
      </c>
      <c r="P520" s="0" t="n">
        <v>1000</v>
      </c>
    </row>
    <row r="521" customFormat="false" ht="15" hidden="false" customHeight="false" outlineLevel="0" collapsed="false">
      <c r="A521" s="3" t="s">
        <v>2725</v>
      </c>
      <c r="B521" s="3" t="s">
        <v>2726</v>
      </c>
      <c r="C521" s="3" t="s">
        <v>2727</v>
      </c>
      <c r="D521" s="7" t="n">
        <v>2</v>
      </c>
      <c r="E521" s="3" t="s">
        <v>2728</v>
      </c>
      <c r="G521" s="3" t="s">
        <v>251</v>
      </c>
      <c r="H521" s="3" t="s">
        <v>2729</v>
      </c>
      <c r="I521" s="3" t="s">
        <v>2730</v>
      </c>
      <c r="J521" s="3" t="s">
        <v>2731</v>
      </c>
      <c r="K521" s="0" t="n">
        <v>0</v>
      </c>
      <c r="L521" s="0" t="n">
        <v>1000</v>
      </c>
      <c r="M521" s="0" t="n">
        <v>0</v>
      </c>
      <c r="N521" s="0" t="n">
        <v>1000</v>
      </c>
      <c r="O521" s="0" t="n">
        <v>0</v>
      </c>
      <c r="P521" s="0" t="n">
        <v>1000</v>
      </c>
    </row>
    <row r="522" customFormat="false" ht="15" hidden="false" customHeight="false" outlineLevel="0" collapsed="false">
      <c r="A522" s="3" t="s">
        <v>2732</v>
      </c>
      <c r="B522" s="3" t="s">
        <v>2733</v>
      </c>
      <c r="C522" s="3" t="s">
        <v>2734</v>
      </c>
      <c r="D522" s="7" t="n">
        <v>2</v>
      </c>
      <c r="E522" s="3" t="s">
        <v>2728</v>
      </c>
      <c r="G522" s="3" t="s">
        <v>251</v>
      </c>
      <c r="H522" s="3" t="s">
        <v>2729</v>
      </c>
      <c r="I522" s="3" t="s">
        <v>2730</v>
      </c>
      <c r="J522" s="3" t="s">
        <v>2731</v>
      </c>
      <c r="K522" s="0" t="n">
        <v>0</v>
      </c>
      <c r="L522" s="0" t="n">
        <v>1000</v>
      </c>
      <c r="M522" s="0" t="n">
        <v>0</v>
      </c>
      <c r="N522" s="0" t="n">
        <v>1000</v>
      </c>
      <c r="O522" s="0" t="n">
        <v>0</v>
      </c>
      <c r="P522" s="0" t="n">
        <v>1000</v>
      </c>
    </row>
    <row r="523" customFormat="false" ht="15" hidden="false" customHeight="false" outlineLevel="0" collapsed="false">
      <c r="A523" s="3" t="s">
        <v>2735</v>
      </c>
      <c r="B523" s="3" t="s">
        <v>2736</v>
      </c>
      <c r="C523" s="3" t="s">
        <v>2737</v>
      </c>
      <c r="D523" s="7" t="n">
        <v>2</v>
      </c>
      <c r="E523" s="3" t="s">
        <v>2728</v>
      </c>
      <c r="G523" s="3" t="s">
        <v>251</v>
      </c>
      <c r="H523" s="3" t="s">
        <v>2729</v>
      </c>
      <c r="I523" s="3" t="s">
        <v>2730</v>
      </c>
      <c r="J523" s="3" t="s">
        <v>2731</v>
      </c>
      <c r="K523" s="0" t="n">
        <v>0</v>
      </c>
      <c r="L523" s="0" t="n">
        <v>1000</v>
      </c>
      <c r="M523" s="0" t="n">
        <v>0</v>
      </c>
      <c r="N523" s="0" t="n">
        <v>1000</v>
      </c>
      <c r="O523" s="0" t="n">
        <v>0</v>
      </c>
      <c r="P523" s="0" t="n">
        <v>1000</v>
      </c>
    </row>
    <row r="524" customFormat="false" ht="15" hidden="false" customHeight="false" outlineLevel="0" collapsed="false">
      <c r="A524" s="3" t="s">
        <v>2738</v>
      </c>
      <c r="B524" s="3" t="s">
        <v>2739</v>
      </c>
      <c r="C524" s="3" t="s">
        <v>2740</v>
      </c>
      <c r="D524" s="7" t="n">
        <v>2</v>
      </c>
      <c r="E524" s="3" t="s">
        <v>2728</v>
      </c>
      <c r="G524" s="3" t="s">
        <v>251</v>
      </c>
      <c r="H524" s="3" t="s">
        <v>2729</v>
      </c>
      <c r="I524" s="3" t="s">
        <v>2730</v>
      </c>
      <c r="J524" s="3" t="s">
        <v>2731</v>
      </c>
      <c r="K524" s="0" t="n">
        <v>0</v>
      </c>
      <c r="L524" s="0" t="n">
        <v>1000</v>
      </c>
      <c r="M524" s="0" t="n">
        <v>0</v>
      </c>
      <c r="N524" s="0" t="n">
        <v>1000</v>
      </c>
      <c r="O524" s="0" t="n">
        <v>0</v>
      </c>
      <c r="P524" s="0" t="n">
        <v>1000</v>
      </c>
    </row>
    <row r="525" customFormat="false" ht="15" hidden="false" customHeight="false" outlineLevel="0" collapsed="false">
      <c r="A525" s="3" t="s">
        <v>2741</v>
      </c>
      <c r="B525" s="3" t="s">
        <v>2742</v>
      </c>
      <c r="C525" s="3" t="s">
        <v>2743</v>
      </c>
      <c r="D525" s="7" t="n">
        <v>2</v>
      </c>
      <c r="E525" s="3" t="s">
        <v>2744</v>
      </c>
      <c r="G525" s="3" t="s">
        <v>1217</v>
      </c>
      <c r="H525" s="3" t="s">
        <v>2745</v>
      </c>
      <c r="I525" s="3" t="s">
        <v>2746</v>
      </c>
      <c r="J525" s="3" t="s">
        <v>2747</v>
      </c>
      <c r="K525" s="0" t="n">
        <v>-1000</v>
      </c>
      <c r="L525" s="0" t="n">
        <v>1000</v>
      </c>
      <c r="M525" s="0" t="n">
        <v>-1000</v>
      </c>
      <c r="N525" s="0" t="n">
        <v>1000</v>
      </c>
      <c r="O525" s="0" t="n">
        <v>-1000</v>
      </c>
      <c r="P525" s="0" t="n">
        <v>1000</v>
      </c>
    </row>
    <row r="526" customFormat="false" ht="15" hidden="false" customHeight="false" outlineLevel="0" collapsed="false">
      <c r="A526" s="3" t="s">
        <v>2748</v>
      </c>
      <c r="B526" s="3" t="s">
        <v>2749</v>
      </c>
      <c r="C526" s="3" t="s">
        <v>2750</v>
      </c>
      <c r="D526" s="7" t="n">
        <v>2</v>
      </c>
      <c r="E526" s="3" t="s">
        <v>2751</v>
      </c>
      <c r="F526" s="7" t="n">
        <v>19077236</v>
      </c>
      <c r="G526" s="3" t="s">
        <v>1217</v>
      </c>
      <c r="H526" s="3" t="s">
        <v>2752</v>
      </c>
      <c r="I526" s="3" t="s">
        <v>2753</v>
      </c>
      <c r="J526" s="3" t="s">
        <v>2754</v>
      </c>
      <c r="K526" s="0" t="n">
        <v>0</v>
      </c>
      <c r="L526" s="0" t="n">
        <v>1000</v>
      </c>
      <c r="M526" s="0" t="n">
        <v>0</v>
      </c>
      <c r="N526" s="0" t="n">
        <v>1000</v>
      </c>
      <c r="O526" s="0" t="n">
        <v>0</v>
      </c>
      <c r="P526" s="0" t="n">
        <v>1000</v>
      </c>
    </row>
    <row r="527" customFormat="false" ht="15" hidden="false" customHeight="false" outlineLevel="0" collapsed="false">
      <c r="A527" s="3" t="s">
        <v>2755</v>
      </c>
      <c r="B527" s="3" t="s">
        <v>2756</v>
      </c>
      <c r="C527" s="3" t="s">
        <v>2757</v>
      </c>
      <c r="D527" s="7" t="n">
        <v>3</v>
      </c>
      <c r="E527" s="3" t="s">
        <v>2758</v>
      </c>
      <c r="G527" s="3" t="s">
        <v>1518</v>
      </c>
      <c r="H527" s="3" t="s">
        <v>2759</v>
      </c>
      <c r="I527" s="3" t="s">
        <v>2760</v>
      </c>
      <c r="J527" s="3" t="s">
        <v>2761</v>
      </c>
      <c r="K527" s="0" t="n">
        <v>-1000</v>
      </c>
      <c r="L527" s="0" t="n">
        <v>1000</v>
      </c>
      <c r="M527" s="0" t="n">
        <v>-1000</v>
      </c>
      <c r="N527" s="0" t="n">
        <v>1000</v>
      </c>
      <c r="O527" s="0" t="n">
        <v>-1000</v>
      </c>
      <c r="P527" s="0" t="n">
        <v>1000</v>
      </c>
    </row>
    <row r="528" customFormat="false" ht="15" hidden="false" customHeight="false" outlineLevel="0" collapsed="false">
      <c r="A528" s="3" t="s">
        <v>2762</v>
      </c>
      <c r="B528" s="3" t="s">
        <v>2763</v>
      </c>
      <c r="C528" s="3" t="s">
        <v>2764</v>
      </c>
      <c r="D528" s="7" t="n">
        <v>3</v>
      </c>
      <c r="F528" s="7" t="n">
        <v>12070689</v>
      </c>
      <c r="G528" s="3" t="s">
        <v>1518</v>
      </c>
      <c r="K528" s="0" t="n">
        <v>0</v>
      </c>
      <c r="L528" s="0" t="n">
        <v>1000</v>
      </c>
      <c r="M528" s="0" t="n">
        <v>0</v>
      </c>
      <c r="N528" s="0" t="n">
        <v>1000</v>
      </c>
      <c r="O528" s="0" t="n">
        <v>0</v>
      </c>
      <c r="P528" s="0" t="n">
        <v>1000</v>
      </c>
    </row>
    <row r="529" customFormat="false" ht="15" hidden="false" customHeight="false" outlineLevel="0" collapsed="false">
      <c r="A529" s="3" t="s">
        <v>2765</v>
      </c>
      <c r="B529" s="3" t="s">
        <v>2766</v>
      </c>
      <c r="C529" s="3" t="s">
        <v>2767</v>
      </c>
      <c r="D529" s="7" t="n">
        <v>2</v>
      </c>
      <c r="E529" s="3" t="s">
        <v>1546</v>
      </c>
      <c r="G529" s="3" t="s">
        <v>328</v>
      </c>
      <c r="H529" s="3" t="s">
        <v>2768</v>
      </c>
      <c r="I529" s="3" t="s">
        <v>2769</v>
      </c>
      <c r="J529" s="3" t="s">
        <v>2770</v>
      </c>
      <c r="K529" s="0" t="n">
        <v>-1000</v>
      </c>
      <c r="L529" s="0" t="n">
        <v>1000</v>
      </c>
      <c r="M529" s="0" t="n">
        <v>-1000</v>
      </c>
      <c r="N529" s="0" t="n">
        <v>1000</v>
      </c>
      <c r="O529" s="0" t="n">
        <v>-1000</v>
      </c>
      <c r="P529" s="0" t="n">
        <v>1000</v>
      </c>
    </row>
    <row r="530" customFormat="false" ht="15" hidden="false" customHeight="false" outlineLevel="0" collapsed="false">
      <c r="A530" s="3" t="s">
        <v>2771</v>
      </c>
      <c r="B530" s="3" t="s">
        <v>2772</v>
      </c>
      <c r="C530" s="3" t="s">
        <v>2773</v>
      </c>
      <c r="D530" s="7" t="n">
        <v>3</v>
      </c>
      <c r="E530" s="3" t="s">
        <v>2774</v>
      </c>
      <c r="F530" s="15" t="s">
        <v>2775</v>
      </c>
      <c r="G530" s="3" t="s">
        <v>147</v>
      </c>
      <c r="H530" s="3" t="s">
        <v>2776</v>
      </c>
      <c r="I530" s="3" t="s">
        <v>2777</v>
      </c>
      <c r="J530" s="3" t="s">
        <v>2778</v>
      </c>
      <c r="K530" s="0" t="n">
        <v>0</v>
      </c>
      <c r="L530" s="0" t="n">
        <v>1000</v>
      </c>
      <c r="M530" s="0" t="n">
        <v>0</v>
      </c>
      <c r="N530" s="0" t="n">
        <v>1000</v>
      </c>
      <c r="O530" s="0" t="n">
        <v>0</v>
      </c>
      <c r="P530" s="0" t="n">
        <v>1000</v>
      </c>
    </row>
    <row r="531" customFormat="false" ht="15" hidden="false" customHeight="false" outlineLevel="0" collapsed="false">
      <c r="A531" s="3" t="s">
        <v>2779</v>
      </c>
      <c r="B531" s="3" t="s">
        <v>2780</v>
      </c>
      <c r="C531" s="3" t="s">
        <v>2781</v>
      </c>
      <c r="D531" s="7" t="n">
        <v>2</v>
      </c>
      <c r="E531" s="3" t="s">
        <v>2782</v>
      </c>
      <c r="F531" s="7" t="n">
        <v>19077236</v>
      </c>
      <c r="G531" s="3" t="s">
        <v>1217</v>
      </c>
      <c r="H531" s="3" t="s">
        <v>2783</v>
      </c>
      <c r="I531" s="3" t="s">
        <v>2784</v>
      </c>
      <c r="J531" s="3" t="s">
        <v>2785</v>
      </c>
      <c r="K531" s="0" t="n">
        <v>-1000</v>
      </c>
      <c r="L531" s="0" t="n">
        <v>1000</v>
      </c>
      <c r="M531" s="0" t="n">
        <v>-1000</v>
      </c>
      <c r="N531" s="0" t="n">
        <v>1000</v>
      </c>
      <c r="O531" s="0" t="n">
        <v>-1000</v>
      </c>
      <c r="P531" s="0" t="n">
        <v>1000</v>
      </c>
    </row>
    <row r="532" customFormat="false" ht="15" hidden="false" customHeight="false" outlineLevel="0" collapsed="false">
      <c r="A532" s="3" t="s">
        <v>2786</v>
      </c>
      <c r="B532" s="3" t="s">
        <v>2787</v>
      </c>
      <c r="C532" s="3" t="s">
        <v>2788</v>
      </c>
      <c r="D532" s="7" t="n">
        <v>3</v>
      </c>
      <c r="E532" s="3" t="s">
        <v>2789</v>
      </c>
      <c r="F532" s="15" t="s">
        <v>2790</v>
      </c>
      <c r="G532" s="3" t="s">
        <v>238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3" t="s">
        <v>2791</v>
      </c>
      <c r="B533" s="3" t="s">
        <v>2792</v>
      </c>
      <c r="C533" s="3" t="s">
        <v>2793</v>
      </c>
      <c r="D533" s="7" t="n">
        <v>2</v>
      </c>
      <c r="E533" s="3" t="s">
        <v>2794</v>
      </c>
      <c r="G533" s="3" t="s">
        <v>481</v>
      </c>
      <c r="H533" s="3" t="s">
        <v>2795</v>
      </c>
      <c r="I533" s="3" t="s">
        <v>2796</v>
      </c>
      <c r="J533" s="3" t="s">
        <v>2797</v>
      </c>
      <c r="K533" s="0" t="n">
        <v>-1000</v>
      </c>
      <c r="L533" s="0" t="n">
        <v>1000</v>
      </c>
      <c r="M533" s="0" t="n">
        <v>-1000</v>
      </c>
      <c r="N533" s="0" t="n">
        <v>1000</v>
      </c>
      <c r="O533" s="0" t="n">
        <v>-1000</v>
      </c>
      <c r="P533" s="0" t="n">
        <v>1000</v>
      </c>
    </row>
    <row r="534" customFormat="false" ht="15" hidden="false" customHeight="false" outlineLevel="0" collapsed="false">
      <c r="A534" s="3" t="s">
        <v>2798</v>
      </c>
      <c r="B534" s="3" t="s">
        <v>2799</v>
      </c>
      <c r="C534" s="3" t="s">
        <v>2800</v>
      </c>
      <c r="D534" s="7" t="n">
        <v>2</v>
      </c>
      <c r="E534" s="3" t="s">
        <v>2801</v>
      </c>
      <c r="G534" s="3" t="s">
        <v>481</v>
      </c>
      <c r="H534" s="3" t="s">
        <v>2802</v>
      </c>
      <c r="I534" s="3" t="s">
        <v>2803</v>
      </c>
      <c r="J534" s="3" t="s">
        <v>2802</v>
      </c>
      <c r="K534" s="0" t="n">
        <v>-1000</v>
      </c>
      <c r="L534" s="0" t="n">
        <v>1000</v>
      </c>
      <c r="M534" s="0" t="n">
        <v>-1000</v>
      </c>
      <c r="N534" s="0" t="n">
        <v>1000</v>
      </c>
      <c r="O534" s="0" t="n">
        <v>-1000</v>
      </c>
      <c r="P534" s="0" t="n">
        <v>1000</v>
      </c>
    </row>
    <row r="535" customFormat="false" ht="15" hidden="false" customHeight="false" outlineLevel="0" collapsed="false">
      <c r="A535" s="3" t="s">
        <v>2804</v>
      </c>
      <c r="B535" s="3" t="s">
        <v>2805</v>
      </c>
      <c r="C535" s="3" t="s">
        <v>2806</v>
      </c>
      <c r="D535" s="7" t="n">
        <v>2</v>
      </c>
      <c r="E535" s="3" t="s">
        <v>2807</v>
      </c>
      <c r="G535" s="3" t="s">
        <v>301</v>
      </c>
      <c r="H535" s="3" t="s">
        <v>2808</v>
      </c>
      <c r="I535" s="3" t="s">
        <v>2809</v>
      </c>
      <c r="J535" s="3" t="s">
        <v>2810</v>
      </c>
      <c r="K535" s="0" t="n">
        <v>-1000</v>
      </c>
      <c r="L535" s="0" t="n">
        <v>1000</v>
      </c>
      <c r="M535" s="0" t="n">
        <v>-1000</v>
      </c>
      <c r="N535" s="0" t="n">
        <v>1000</v>
      </c>
      <c r="O535" s="0" t="n">
        <v>-1000</v>
      </c>
      <c r="P535" s="0" t="n">
        <v>1000</v>
      </c>
    </row>
    <row r="536" customFormat="false" ht="15" hidden="false" customHeight="false" outlineLevel="0" collapsed="false">
      <c r="A536" s="3" t="s">
        <v>2811</v>
      </c>
      <c r="B536" s="3" t="s">
        <v>2812</v>
      </c>
      <c r="C536" s="3" t="s">
        <v>2813</v>
      </c>
      <c r="D536" s="7" t="n">
        <v>2</v>
      </c>
      <c r="F536" s="7" t="n">
        <v>19703284</v>
      </c>
      <c r="G536" s="3" t="s">
        <v>238</v>
      </c>
      <c r="H536" s="3" t="s">
        <v>2814</v>
      </c>
      <c r="I536" s="3" t="s">
        <v>303</v>
      </c>
      <c r="J536" s="3" t="s">
        <v>2814</v>
      </c>
      <c r="K536" s="0" t="n">
        <v>0</v>
      </c>
      <c r="L536" s="0" t="n">
        <v>1000</v>
      </c>
      <c r="M536" s="0" t="n">
        <v>0</v>
      </c>
      <c r="N536" s="0" t="n">
        <v>1000</v>
      </c>
      <c r="O536" s="0" t="n">
        <v>0</v>
      </c>
      <c r="P536" s="0" t="n">
        <v>1000</v>
      </c>
    </row>
    <row r="537" customFormat="false" ht="15" hidden="false" customHeight="false" outlineLevel="0" collapsed="false">
      <c r="A537" s="3" t="s">
        <v>2815</v>
      </c>
      <c r="B537" s="3" t="s">
        <v>2812</v>
      </c>
      <c r="C537" s="3" t="s">
        <v>2816</v>
      </c>
      <c r="D537" s="7" t="n">
        <v>2</v>
      </c>
      <c r="F537" s="7" t="n">
        <v>19703284</v>
      </c>
      <c r="G537" s="3" t="s">
        <v>238</v>
      </c>
      <c r="H537" s="3" t="s">
        <v>2814</v>
      </c>
      <c r="I537" s="3" t="s">
        <v>303</v>
      </c>
      <c r="J537" s="3" t="s">
        <v>2814</v>
      </c>
      <c r="K537" s="0" t="n">
        <v>0</v>
      </c>
      <c r="L537" s="0" t="n">
        <v>1000</v>
      </c>
      <c r="M537" s="0" t="n">
        <v>0</v>
      </c>
      <c r="N537" s="0" t="n">
        <v>1000</v>
      </c>
      <c r="O537" s="0" t="n">
        <v>0</v>
      </c>
      <c r="P537" s="0" t="n">
        <v>1000</v>
      </c>
    </row>
    <row r="538" customFormat="false" ht="15" hidden="false" customHeight="false" outlineLevel="0" collapsed="false">
      <c r="A538" s="3" t="s">
        <v>2817</v>
      </c>
      <c r="C538" s="3" t="s">
        <v>2818</v>
      </c>
      <c r="D538" s="7" t="n">
        <v>1</v>
      </c>
      <c r="E538" s="3" t="s">
        <v>2819</v>
      </c>
      <c r="G538" s="3" t="s">
        <v>2820</v>
      </c>
      <c r="K538" s="0" t="n">
        <v>-1000</v>
      </c>
      <c r="L538" s="0" t="n">
        <v>1000</v>
      </c>
      <c r="M538" s="0" t="n">
        <v>-1000</v>
      </c>
      <c r="N538" s="0" t="n">
        <v>1000</v>
      </c>
      <c r="O538" s="0" t="n">
        <v>-1000</v>
      </c>
      <c r="P538" s="0" t="n">
        <v>1000</v>
      </c>
    </row>
    <row r="539" customFormat="false" ht="15" hidden="false" customHeight="false" outlineLevel="0" collapsed="false">
      <c r="A539" s="3" t="s">
        <v>2821</v>
      </c>
      <c r="B539" s="3" t="s">
        <v>2822</v>
      </c>
      <c r="C539" s="3" t="s">
        <v>2823</v>
      </c>
      <c r="D539" s="7" t="n">
        <v>1</v>
      </c>
      <c r="E539" s="3" t="s">
        <v>2824</v>
      </c>
      <c r="G539" s="3" t="s">
        <v>2820</v>
      </c>
      <c r="K539" s="0" t="n">
        <v>-1000</v>
      </c>
      <c r="L539" s="0" t="n">
        <v>1000</v>
      </c>
      <c r="M539" s="0" t="n">
        <v>-1000</v>
      </c>
      <c r="N539" s="0" t="n">
        <v>1000</v>
      </c>
      <c r="O539" s="0" t="n">
        <v>-1000</v>
      </c>
      <c r="P539" s="0" t="n">
        <v>1000</v>
      </c>
    </row>
    <row r="540" customFormat="false" ht="15" hidden="false" customHeight="false" outlineLevel="0" collapsed="false">
      <c r="A540" s="3" t="s">
        <v>2825</v>
      </c>
      <c r="B540" s="3" t="s">
        <v>2826</v>
      </c>
      <c r="C540" s="3" t="s">
        <v>2827</v>
      </c>
      <c r="D540" s="7" t="n">
        <v>2</v>
      </c>
      <c r="E540" s="3" t="s">
        <v>2828</v>
      </c>
      <c r="G540" s="3" t="s">
        <v>423</v>
      </c>
      <c r="H540" s="3" t="s">
        <v>2829</v>
      </c>
      <c r="I540" s="3" t="s">
        <v>2830</v>
      </c>
      <c r="J540" s="3" t="s">
        <v>2831</v>
      </c>
      <c r="K540" s="0" t="n">
        <v>-1000</v>
      </c>
      <c r="L540" s="0" t="n">
        <v>1000</v>
      </c>
      <c r="M540" s="0" t="n">
        <v>-1000</v>
      </c>
      <c r="N540" s="0" t="n">
        <v>1000</v>
      </c>
      <c r="O540" s="0" t="n">
        <v>-1000</v>
      </c>
      <c r="P540" s="0" t="n">
        <v>1000</v>
      </c>
    </row>
    <row r="541" customFormat="false" ht="15" hidden="false" customHeight="false" outlineLevel="0" collapsed="false">
      <c r="A541" s="3" t="s">
        <v>2832</v>
      </c>
      <c r="B541" s="3" t="s">
        <v>2833</v>
      </c>
      <c r="C541" s="3" t="s">
        <v>2834</v>
      </c>
      <c r="D541" s="7" t="n">
        <v>2</v>
      </c>
      <c r="E541" s="3" t="s">
        <v>2835</v>
      </c>
      <c r="G541" s="3" t="s">
        <v>2836</v>
      </c>
      <c r="H541" s="3" t="s">
        <v>2837</v>
      </c>
      <c r="I541" s="3" t="s">
        <v>2838</v>
      </c>
      <c r="J541" s="3" t="s">
        <v>2839</v>
      </c>
      <c r="K541" s="0" t="n">
        <v>0</v>
      </c>
      <c r="L541" s="0" t="n">
        <v>1000</v>
      </c>
      <c r="M541" s="0" t="n">
        <v>0</v>
      </c>
      <c r="N541" s="0" t="n">
        <v>1000</v>
      </c>
      <c r="O541" s="0" t="n">
        <v>0</v>
      </c>
      <c r="P541" s="0" t="n">
        <v>1000</v>
      </c>
    </row>
    <row r="542" customFormat="false" ht="15" hidden="false" customHeight="false" outlineLevel="0" collapsed="false">
      <c r="A542" s="3" t="s">
        <v>2840</v>
      </c>
      <c r="B542" s="3" t="s">
        <v>2841</v>
      </c>
      <c r="C542" s="3" t="s">
        <v>2842</v>
      </c>
      <c r="D542" s="7" t="n">
        <v>2</v>
      </c>
      <c r="F542" s="7" t="n">
        <v>19077236</v>
      </c>
      <c r="G542" s="3" t="s">
        <v>2843</v>
      </c>
      <c r="K542" s="0" t="n">
        <v>0</v>
      </c>
      <c r="L542" s="0" t="n">
        <v>0</v>
      </c>
      <c r="M542" s="0" t="n">
        <v>0</v>
      </c>
      <c r="N542" s="0" t="n">
        <v>1000</v>
      </c>
      <c r="O542" s="0" t="n">
        <v>0</v>
      </c>
      <c r="P542" s="0" t="n">
        <v>1000</v>
      </c>
    </row>
    <row r="543" customFormat="false" ht="15" hidden="false" customHeight="false" outlineLevel="0" collapsed="false">
      <c r="A543" s="3" t="s">
        <v>2844</v>
      </c>
      <c r="B543" s="3" t="s">
        <v>2845</v>
      </c>
      <c r="C543" s="3" t="s">
        <v>2846</v>
      </c>
      <c r="D543" s="7" t="n">
        <v>2</v>
      </c>
      <c r="F543" s="7" t="n">
        <v>19077236</v>
      </c>
      <c r="G543" s="3" t="s">
        <v>143</v>
      </c>
      <c r="H543" s="3" t="s">
        <v>2847</v>
      </c>
      <c r="I543" s="3" t="s">
        <v>2848</v>
      </c>
      <c r="J543" s="3" t="s">
        <v>2847</v>
      </c>
      <c r="K543" s="0" t="n">
        <v>0</v>
      </c>
      <c r="L543" s="0" t="n">
        <v>0</v>
      </c>
      <c r="M543" s="0" t="n">
        <v>0</v>
      </c>
      <c r="N543" s="0" t="n">
        <v>1000</v>
      </c>
      <c r="O543" s="0" t="n">
        <v>0</v>
      </c>
      <c r="P543" s="0" t="n">
        <v>1000</v>
      </c>
    </row>
    <row r="544" customFormat="false" ht="15" hidden="false" customHeight="false" outlineLevel="0" collapsed="false">
      <c r="A544" s="3" t="s">
        <v>2849</v>
      </c>
      <c r="B544" s="3" t="s">
        <v>2841</v>
      </c>
      <c r="C544" s="3" t="s">
        <v>2850</v>
      </c>
      <c r="D544" s="7" t="n">
        <v>2</v>
      </c>
      <c r="F544" s="7" t="n">
        <v>19077236</v>
      </c>
      <c r="G544" s="3" t="s">
        <v>2843</v>
      </c>
      <c r="K544" s="0" t="n">
        <v>0</v>
      </c>
      <c r="L544" s="0" t="n">
        <v>1000</v>
      </c>
      <c r="M544" s="0" t="n">
        <v>0</v>
      </c>
      <c r="N544" s="0" t="n">
        <v>1000</v>
      </c>
      <c r="O544" s="0" t="n">
        <v>0</v>
      </c>
      <c r="P544" s="0" t="n">
        <v>1000</v>
      </c>
    </row>
    <row r="545" customFormat="false" ht="15" hidden="false" customHeight="false" outlineLevel="0" collapsed="false">
      <c r="A545" s="3" t="s">
        <v>2851</v>
      </c>
      <c r="B545" s="3" t="s">
        <v>2852</v>
      </c>
      <c r="C545" s="3" t="s">
        <v>2853</v>
      </c>
      <c r="D545" s="7" t="n">
        <v>1</v>
      </c>
      <c r="G545" s="3" t="s">
        <v>238</v>
      </c>
      <c r="K545" s="0" t="n">
        <v>-1000</v>
      </c>
      <c r="L545" s="0" t="n">
        <v>1000</v>
      </c>
      <c r="M545" s="0" t="n">
        <v>-1000</v>
      </c>
      <c r="N545" s="0" t="n">
        <v>1000</v>
      </c>
      <c r="O545" s="0" t="n">
        <v>-1000</v>
      </c>
      <c r="P545" s="0" t="n">
        <v>1000</v>
      </c>
    </row>
    <row r="546" customFormat="false" ht="15" hidden="false" customHeight="false" outlineLevel="0" collapsed="false">
      <c r="A546" s="3" t="s">
        <v>2854</v>
      </c>
      <c r="B546" s="3" t="s">
        <v>2855</v>
      </c>
      <c r="C546" s="3" t="s">
        <v>2856</v>
      </c>
      <c r="D546" s="7" t="n">
        <v>1</v>
      </c>
      <c r="G546" s="3" t="s">
        <v>139</v>
      </c>
      <c r="K546" s="0" t="n">
        <v>-1000</v>
      </c>
      <c r="L546" s="0" t="n">
        <v>1000</v>
      </c>
      <c r="M546" s="0" t="n">
        <v>-1000</v>
      </c>
      <c r="N546" s="0" t="n">
        <v>1000</v>
      </c>
      <c r="O546" s="0" t="n">
        <v>-1000</v>
      </c>
      <c r="P546" s="0" t="n">
        <v>1000</v>
      </c>
    </row>
    <row r="547" customFormat="false" ht="15" hidden="false" customHeight="false" outlineLevel="0" collapsed="false">
      <c r="A547" s="3" t="s">
        <v>2857</v>
      </c>
      <c r="B547" s="3" t="s">
        <v>2858</v>
      </c>
      <c r="C547" s="3" t="s">
        <v>2859</v>
      </c>
      <c r="D547" s="7" t="n">
        <v>2</v>
      </c>
      <c r="E547" s="3" t="s">
        <v>2860</v>
      </c>
      <c r="G547" s="3" t="s">
        <v>2861</v>
      </c>
      <c r="H547" s="3" t="s">
        <v>2862</v>
      </c>
      <c r="I547" s="3" t="s">
        <v>2863</v>
      </c>
      <c r="J547" s="3" t="s">
        <v>2864</v>
      </c>
      <c r="K547" s="0" t="n">
        <v>-1000</v>
      </c>
      <c r="L547" s="0" t="n">
        <v>1000</v>
      </c>
      <c r="M547" s="0" t="n">
        <v>-1000</v>
      </c>
      <c r="N547" s="0" t="n">
        <v>1000</v>
      </c>
      <c r="O547" s="0" t="n">
        <v>-1000</v>
      </c>
      <c r="P547" s="0" t="n">
        <v>1000</v>
      </c>
    </row>
    <row r="548" customFormat="false" ht="15" hidden="false" customHeight="false" outlineLevel="0" collapsed="false">
      <c r="A548" s="3" t="s">
        <v>2865</v>
      </c>
      <c r="B548" s="3" t="s">
        <v>2179</v>
      </c>
      <c r="C548" s="3" t="s">
        <v>2866</v>
      </c>
      <c r="D548" s="7" t="n">
        <v>3</v>
      </c>
      <c r="E548" s="3" t="s">
        <v>2867</v>
      </c>
      <c r="F548" s="7" t="n">
        <v>19703284</v>
      </c>
      <c r="G548" s="3" t="s">
        <v>238</v>
      </c>
      <c r="H548" s="3" t="s">
        <v>2868</v>
      </c>
      <c r="I548" s="3" t="s">
        <v>2869</v>
      </c>
      <c r="J548" s="3" t="s">
        <v>2870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3" t="s">
        <v>2871</v>
      </c>
      <c r="B549" s="3" t="s">
        <v>2872</v>
      </c>
      <c r="C549" s="3" t="s">
        <v>2873</v>
      </c>
      <c r="D549" s="7" t="n">
        <v>2</v>
      </c>
      <c r="F549" s="7" t="n">
        <v>19077236</v>
      </c>
      <c r="G549" s="3" t="s">
        <v>213</v>
      </c>
      <c r="H549" s="3" t="s">
        <v>2874</v>
      </c>
      <c r="I549" s="3" t="s">
        <v>2875</v>
      </c>
      <c r="J549" s="3" t="s">
        <v>2876</v>
      </c>
      <c r="K549" s="0" t="n">
        <v>-1000</v>
      </c>
      <c r="L549" s="0" t="n">
        <v>1000</v>
      </c>
      <c r="M549" s="0" t="n">
        <v>-1000</v>
      </c>
      <c r="N549" s="0" t="n">
        <v>1000</v>
      </c>
      <c r="O549" s="0" t="n">
        <v>-1000</v>
      </c>
      <c r="P549" s="0" t="n">
        <v>1000</v>
      </c>
    </row>
    <row r="550" customFormat="false" ht="15" hidden="false" customHeight="false" outlineLevel="0" collapsed="false">
      <c r="A550" s="3" t="s">
        <v>2877</v>
      </c>
      <c r="B550" s="3" t="s">
        <v>2878</v>
      </c>
      <c r="C550" s="3" t="s">
        <v>2879</v>
      </c>
      <c r="D550" s="7" t="n">
        <v>2</v>
      </c>
      <c r="E550" s="3" t="s">
        <v>2880</v>
      </c>
      <c r="F550" s="7" t="n">
        <v>19077236</v>
      </c>
      <c r="G550" s="3" t="s">
        <v>213</v>
      </c>
      <c r="H550" s="3" t="s">
        <v>2881</v>
      </c>
      <c r="I550" s="3" t="s">
        <v>2882</v>
      </c>
      <c r="J550" s="3" t="s">
        <v>2883</v>
      </c>
      <c r="K550" s="0" t="n">
        <v>-1000</v>
      </c>
      <c r="L550" s="0" t="n">
        <v>1000</v>
      </c>
      <c r="M550" s="0" t="n">
        <v>-1000</v>
      </c>
      <c r="N550" s="0" t="n">
        <v>1000</v>
      </c>
      <c r="O550" s="0" t="n">
        <v>-1000</v>
      </c>
      <c r="P550" s="0" t="n">
        <v>1000</v>
      </c>
    </row>
    <row r="551" customFormat="false" ht="15" hidden="false" customHeight="false" outlineLevel="0" collapsed="false">
      <c r="A551" s="3" t="s">
        <v>2884</v>
      </c>
      <c r="B551" s="3" t="s">
        <v>2885</v>
      </c>
      <c r="C551" s="3" t="s">
        <v>2886</v>
      </c>
      <c r="D551" s="7" t="n">
        <v>3</v>
      </c>
      <c r="E551" s="3" t="s">
        <v>2887</v>
      </c>
      <c r="F551" s="15" t="s">
        <v>2790</v>
      </c>
      <c r="G551" s="3" t="s">
        <v>238</v>
      </c>
      <c r="K551" s="0" t="n">
        <v>-1000</v>
      </c>
      <c r="L551" s="0" t="n">
        <v>1000</v>
      </c>
      <c r="M551" s="0" t="n">
        <v>-1000</v>
      </c>
      <c r="N551" s="0" t="n">
        <v>1000</v>
      </c>
      <c r="O551" s="0" t="n">
        <v>-1000</v>
      </c>
      <c r="P551" s="0" t="n">
        <v>1000</v>
      </c>
    </row>
    <row r="552" customFormat="false" ht="15" hidden="false" customHeight="false" outlineLevel="0" collapsed="false">
      <c r="A552" s="3" t="s">
        <v>2888</v>
      </c>
      <c r="B552" s="3" t="s">
        <v>2889</v>
      </c>
      <c r="C552" s="3" t="s">
        <v>2890</v>
      </c>
      <c r="D552" s="7" t="n">
        <v>2</v>
      </c>
      <c r="E552" s="3" t="s">
        <v>2891</v>
      </c>
      <c r="F552" s="7" t="n">
        <v>14675496</v>
      </c>
      <c r="G552" s="3" t="s">
        <v>301</v>
      </c>
      <c r="H552" s="3" t="s">
        <v>2892</v>
      </c>
      <c r="I552" s="3" t="s">
        <v>2893</v>
      </c>
      <c r="J552" s="3" t="s">
        <v>2894</v>
      </c>
      <c r="K552" s="0" t="n">
        <v>-1000</v>
      </c>
      <c r="L552" s="0" t="n">
        <v>1000</v>
      </c>
      <c r="M552" s="0" t="n">
        <v>-1000</v>
      </c>
      <c r="N552" s="0" t="n">
        <v>1000</v>
      </c>
      <c r="O552" s="0" t="n">
        <v>-1000</v>
      </c>
      <c r="P552" s="0" t="n">
        <v>1000</v>
      </c>
    </row>
    <row r="553" customFormat="false" ht="15" hidden="false" customHeight="false" outlineLevel="0" collapsed="false">
      <c r="A553" s="3" t="s">
        <v>2895</v>
      </c>
      <c r="B553" s="3" t="s">
        <v>2896</v>
      </c>
      <c r="C553" s="3" t="s">
        <v>2897</v>
      </c>
      <c r="D553" s="7" t="n">
        <v>1</v>
      </c>
      <c r="G553" s="3" t="s">
        <v>139</v>
      </c>
      <c r="K553" s="0" t="n">
        <v>-1000</v>
      </c>
      <c r="L553" s="0" t="n">
        <v>1000</v>
      </c>
      <c r="M553" s="0" t="n">
        <v>-1000</v>
      </c>
      <c r="N553" s="0" t="n">
        <v>1000</v>
      </c>
      <c r="O553" s="0" t="n">
        <v>-1000</v>
      </c>
      <c r="P553" s="0" t="n">
        <v>1000</v>
      </c>
    </row>
    <row r="554" customFormat="false" ht="15" hidden="false" customHeight="false" outlineLevel="0" collapsed="false">
      <c r="A554" s="3" t="s">
        <v>2898</v>
      </c>
      <c r="B554" s="3" t="s">
        <v>2899</v>
      </c>
      <c r="C554" s="3" t="s">
        <v>2900</v>
      </c>
      <c r="D554" s="7" t="n">
        <v>1</v>
      </c>
      <c r="E554" s="3" t="s">
        <v>2901</v>
      </c>
      <c r="G554" s="3" t="s">
        <v>56</v>
      </c>
      <c r="K554" s="0" t="n">
        <v>-1000</v>
      </c>
      <c r="L554" s="0" t="n">
        <v>1000</v>
      </c>
      <c r="M554" s="0" t="n">
        <v>-1000</v>
      </c>
      <c r="N554" s="0" t="n">
        <v>1000</v>
      </c>
      <c r="O554" s="0" t="n">
        <v>-1000</v>
      </c>
      <c r="P554" s="0" t="n">
        <v>1000</v>
      </c>
    </row>
    <row r="555" customFormat="false" ht="15" hidden="false" customHeight="false" outlineLevel="0" collapsed="false">
      <c r="A555" s="3" t="s">
        <v>2902</v>
      </c>
      <c r="B555" s="3" t="s">
        <v>2903</v>
      </c>
      <c r="C555" s="3" t="s">
        <v>2904</v>
      </c>
      <c r="D555" s="7" t="n">
        <v>2</v>
      </c>
      <c r="E555" s="3" t="s">
        <v>2905</v>
      </c>
      <c r="F555" s="7" t="n">
        <v>19077236</v>
      </c>
      <c r="G555" s="3" t="s">
        <v>874</v>
      </c>
      <c r="H555" s="3" t="s">
        <v>2906</v>
      </c>
      <c r="I555" s="3" t="s">
        <v>2907</v>
      </c>
      <c r="J555" s="3" t="s">
        <v>2908</v>
      </c>
      <c r="K555" s="0" t="n">
        <v>-1000</v>
      </c>
      <c r="L555" s="0" t="n">
        <v>1000</v>
      </c>
      <c r="M555" s="0" t="n">
        <v>-1000</v>
      </c>
      <c r="N555" s="0" t="n">
        <v>1000</v>
      </c>
      <c r="O555" s="0" t="n">
        <v>-1000</v>
      </c>
      <c r="P555" s="0" t="n">
        <v>1000</v>
      </c>
    </row>
    <row r="556" customFormat="false" ht="15" hidden="false" customHeight="false" outlineLevel="0" collapsed="false">
      <c r="A556" s="3" t="s">
        <v>2909</v>
      </c>
      <c r="B556" s="3" t="s">
        <v>2910</v>
      </c>
      <c r="C556" s="3" t="s">
        <v>2911</v>
      </c>
      <c r="D556" s="7" t="n">
        <v>2</v>
      </c>
      <c r="E556" s="3" t="s">
        <v>2912</v>
      </c>
      <c r="G556" s="3" t="s">
        <v>1032</v>
      </c>
      <c r="H556" s="3" t="s">
        <v>2913</v>
      </c>
      <c r="I556" s="3" t="s">
        <v>2914</v>
      </c>
      <c r="J556" s="3" t="s">
        <v>2915</v>
      </c>
      <c r="K556" s="0" t="n">
        <v>-1000</v>
      </c>
      <c r="L556" s="0" t="n">
        <v>1000</v>
      </c>
      <c r="M556" s="0" t="n">
        <v>-1000</v>
      </c>
      <c r="N556" s="0" t="n">
        <v>1000</v>
      </c>
      <c r="O556" s="0" t="n">
        <v>-1000</v>
      </c>
      <c r="P556" s="0" t="n">
        <v>1000</v>
      </c>
    </row>
    <row r="557" customFormat="false" ht="15" hidden="false" customHeight="false" outlineLevel="0" collapsed="false">
      <c r="A557" s="3" t="s">
        <v>2916</v>
      </c>
      <c r="B557" s="3" t="s">
        <v>2917</v>
      </c>
      <c r="C557" s="3" t="s">
        <v>2918</v>
      </c>
      <c r="D557" s="7" t="n">
        <v>2</v>
      </c>
      <c r="E557" s="3" t="s">
        <v>2912</v>
      </c>
      <c r="G557" s="3" t="s">
        <v>1032</v>
      </c>
      <c r="H557" s="3" t="s">
        <v>2913</v>
      </c>
      <c r="I557" s="3" t="s">
        <v>2914</v>
      </c>
      <c r="J557" s="3" t="s">
        <v>2915</v>
      </c>
      <c r="K557" s="0" t="n">
        <v>0</v>
      </c>
      <c r="L557" s="0" t="n">
        <v>1000</v>
      </c>
      <c r="M557" s="0" t="n">
        <v>0</v>
      </c>
      <c r="N557" s="0" t="n">
        <v>1000</v>
      </c>
      <c r="O557" s="0" t="n">
        <v>0</v>
      </c>
      <c r="P557" s="0" t="n">
        <v>1000</v>
      </c>
    </row>
    <row r="558" customFormat="false" ht="15" hidden="false" customHeight="false" outlineLevel="0" collapsed="false">
      <c r="A558" s="3" t="s">
        <v>2919</v>
      </c>
      <c r="B558" s="3" t="s">
        <v>2920</v>
      </c>
      <c r="C558" s="3" t="s">
        <v>2921</v>
      </c>
      <c r="D558" s="7" t="n">
        <v>2</v>
      </c>
      <c r="E558" s="3" t="s">
        <v>2922</v>
      </c>
      <c r="G558" s="3" t="s">
        <v>1032</v>
      </c>
      <c r="H558" s="3" t="s">
        <v>2923</v>
      </c>
      <c r="I558" s="3" t="s">
        <v>2924</v>
      </c>
      <c r="J558" s="3" t="s">
        <v>2925</v>
      </c>
      <c r="K558" s="0" t="n">
        <v>0</v>
      </c>
      <c r="L558" s="0" t="n">
        <v>1000</v>
      </c>
      <c r="M558" s="0" t="n">
        <v>0</v>
      </c>
      <c r="N558" s="0" t="n">
        <v>1000</v>
      </c>
      <c r="O558" s="0" t="n">
        <v>0</v>
      </c>
      <c r="P558" s="0" t="n">
        <v>1000</v>
      </c>
    </row>
    <row r="559" customFormat="false" ht="15" hidden="false" customHeight="false" outlineLevel="0" collapsed="false">
      <c r="A559" s="3" t="s">
        <v>2926</v>
      </c>
      <c r="B559" s="3" t="s">
        <v>2927</v>
      </c>
      <c r="C559" s="3" t="s">
        <v>2928</v>
      </c>
      <c r="D559" s="7" t="n">
        <v>2</v>
      </c>
      <c r="E559" s="3" t="s">
        <v>2929</v>
      </c>
      <c r="G559" s="3" t="s">
        <v>1032</v>
      </c>
      <c r="H559" s="3" t="s">
        <v>2930</v>
      </c>
      <c r="I559" s="3" t="s">
        <v>2931</v>
      </c>
      <c r="J559" s="3" t="s">
        <v>2932</v>
      </c>
      <c r="K559" s="0" t="n">
        <v>-1000</v>
      </c>
      <c r="L559" s="0" t="n">
        <v>1000</v>
      </c>
      <c r="M559" s="0" t="n">
        <v>-1000</v>
      </c>
      <c r="N559" s="0" t="n">
        <v>1000</v>
      </c>
      <c r="O559" s="0" t="n">
        <v>-1000</v>
      </c>
      <c r="P559" s="0" t="n">
        <v>1000</v>
      </c>
    </row>
    <row r="560" customFormat="false" ht="15" hidden="false" customHeight="false" outlineLevel="0" collapsed="false">
      <c r="A560" s="3" t="s">
        <v>2933</v>
      </c>
      <c r="B560" s="3" t="s">
        <v>2934</v>
      </c>
      <c r="C560" s="3" t="s">
        <v>2935</v>
      </c>
      <c r="D560" s="7" t="n">
        <v>3</v>
      </c>
      <c r="E560" s="3" t="s">
        <v>2936</v>
      </c>
      <c r="F560" s="7" t="n">
        <v>15044494</v>
      </c>
      <c r="G560" s="3" t="s">
        <v>1908</v>
      </c>
      <c r="H560" s="3" t="s">
        <v>2937</v>
      </c>
      <c r="I560" s="3" t="s">
        <v>2938</v>
      </c>
      <c r="J560" s="3" t="s">
        <v>2939</v>
      </c>
      <c r="K560" s="0" t="n">
        <v>0</v>
      </c>
      <c r="L560" s="0" t="n">
        <v>1000</v>
      </c>
      <c r="M560" s="0" t="n">
        <v>0</v>
      </c>
      <c r="N560" s="0" t="n">
        <v>1000</v>
      </c>
      <c r="O560" s="0" t="n">
        <v>0</v>
      </c>
      <c r="P560" s="0" t="n">
        <v>1000</v>
      </c>
    </row>
    <row r="561" customFormat="false" ht="15" hidden="false" customHeight="false" outlineLevel="0" collapsed="false">
      <c r="A561" s="3" t="s">
        <v>2940</v>
      </c>
      <c r="B561" s="3" t="s">
        <v>2941</v>
      </c>
      <c r="C561" s="3" t="s">
        <v>2942</v>
      </c>
      <c r="D561" s="7" t="n">
        <v>2</v>
      </c>
      <c r="E561" s="3" t="s">
        <v>2943</v>
      </c>
      <c r="G561" s="3" t="s">
        <v>481</v>
      </c>
      <c r="H561" s="3" t="s">
        <v>2944</v>
      </c>
      <c r="I561" s="3" t="s">
        <v>2945</v>
      </c>
      <c r="J561" s="3" t="s">
        <v>2946</v>
      </c>
      <c r="K561" s="0" t="n">
        <v>-1000</v>
      </c>
      <c r="L561" s="0" t="n">
        <v>1000</v>
      </c>
      <c r="M561" s="0" t="n">
        <v>-1000</v>
      </c>
      <c r="N561" s="0" t="n">
        <v>1000</v>
      </c>
      <c r="O561" s="0" t="n">
        <v>-1000</v>
      </c>
      <c r="P561" s="0" t="n">
        <v>1000</v>
      </c>
    </row>
    <row r="562" customFormat="false" ht="15" hidden="false" customHeight="false" outlineLevel="0" collapsed="false">
      <c r="A562" s="3" t="s">
        <v>2947</v>
      </c>
      <c r="B562" s="3" t="s">
        <v>2948</v>
      </c>
      <c r="C562" s="3" t="s">
        <v>2949</v>
      </c>
      <c r="D562" s="7" t="n">
        <v>1</v>
      </c>
      <c r="E562" s="3" t="s">
        <v>2950</v>
      </c>
      <c r="G562" s="3" t="s">
        <v>1276</v>
      </c>
      <c r="K562" s="0" t="n">
        <v>-1000</v>
      </c>
      <c r="L562" s="0" t="n">
        <v>1000</v>
      </c>
      <c r="M562" s="0" t="n">
        <v>-1000</v>
      </c>
      <c r="N562" s="0" t="n">
        <v>1000</v>
      </c>
      <c r="O562" s="0" t="n">
        <v>-1000</v>
      </c>
      <c r="P562" s="0" t="n">
        <v>1000</v>
      </c>
    </row>
    <row r="563" customFormat="false" ht="15" hidden="false" customHeight="false" outlineLevel="0" collapsed="false">
      <c r="A563" s="3" t="s">
        <v>2951</v>
      </c>
      <c r="B563" s="3" t="s">
        <v>2952</v>
      </c>
      <c r="C563" s="3" t="s">
        <v>2953</v>
      </c>
      <c r="D563" s="7" t="n">
        <v>2</v>
      </c>
      <c r="E563" s="3" t="s">
        <v>2954</v>
      </c>
      <c r="G563" s="3" t="s">
        <v>405</v>
      </c>
      <c r="H563" s="3" t="s">
        <v>2124</v>
      </c>
      <c r="I563" s="3" t="s">
        <v>2125</v>
      </c>
      <c r="J563" s="3" t="s">
        <v>2126</v>
      </c>
      <c r="K563" s="0" t="n">
        <v>-1000</v>
      </c>
      <c r="L563" s="0" t="n">
        <v>1000</v>
      </c>
      <c r="M563" s="0" t="n">
        <v>-1000</v>
      </c>
      <c r="N563" s="0" t="n">
        <v>1000</v>
      </c>
      <c r="O563" s="0" t="n">
        <v>-1000</v>
      </c>
      <c r="P563" s="0" t="n">
        <v>1000</v>
      </c>
    </row>
    <row r="564" customFormat="false" ht="15" hidden="false" customHeight="false" outlineLevel="0" collapsed="false">
      <c r="A564" s="3" t="s">
        <v>2955</v>
      </c>
      <c r="B564" s="3" t="s">
        <v>2956</v>
      </c>
      <c r="C564" s="3" t="s">
        <v>2957</v>
      </c>
      <c r="D564" s="7" t="n">
        <v>2</v>
      </c>
      <c r="E564" s="3" t="s">
        <v>2958</v>
      </c>
      <c r="G564" s="3" t="s">
        <v>2333</v>
      </c>
      <c r="H564" s="3" t="s">
        <v>2959</v>
      </c>
      <c r="I564" s="3" t="s">
        <v>2960</v>
      </c>
      <c r="J564" s="3" t="s">
        <v>2961</v>
      </c>
      <c r="K564" s="0" t="n">
        <v>-1000</v>
      </c>
      <c r="L564" s="0" t="n">
        <v>1000</v>
      </c>
      <c r="M564" s="0" t="n">
        <v>-1000</v>
      </c>
      <c r="N564" s="0" t="n">
        <v>1000</v>
      </c>
      <c r="O564" s="0" t="n">
        <v>-1000</v>
      </c>
      <c r="P564" s="0" t="n">
        <v>1000</v>
      </c>
    </row>
    <row r="565" customFormat="false" ht="15" hidden="false" customHeight="false" outlineLevel="0" collapsed="false">
      <c r="A565" s="3" t="s">
        <v>2962</v>
      </c>
      <c r="B565" s="3" t="s">
        <v>2963</v>
      </c>
      <c r="C565" s="3" t="s">
        <v>2964</v>
      </c>
      <c r="D565" s="7" t="n">
        <v>2</v>
      </c>
      <c r="E565" s="3" t="s">
        <v>2965</v>
      </c>
      <c r="G565" s="3" t="s">
        <v>192</v>
      </c>
      <c r="H565" s="3" t="s">
        <v>2966</v>
      </c>
      <c r="I565" s="3" t="s">
        <v>2967</v>
      </c>
      <c r="J565" s="3" t="s">
        <v>2968</v>
      </c>
      <c r="K565" s="0" t="n">
        <v>0</v>
      </c>
      <c r="L565" s="0" t="n">
        <v>1000</v>
      </c>
      <c r="M565" s="0" t="n">
        <v>0</v>
      </c>
      <c r="N565" s="0" t="n">
        <v>1000</v>
      </c>
      <c r="O565" s="0" t="n">
        <v>0</v>
      </c>
      <c r="P565" s="0" t="n">
        <v>1000</v>
      </c>
    </row>
    <row r="566" customFormat="false" ht="15" hidden="false" customHeight="false" outlineLevel="0" collapsed="false">
      <c r="A566" s="3" t="s">
        <v>2969</v>
      </c>
      <c r="B566" s="3" t="s">
        <v>2970</v>
      </c>
      <c r="C566" s="3" t="s">
        <v>2971</v>
      </c>
      <c r="D566" s="7" t="n">
        <v>2</v>
      </c>
      <c r="E566" s="3" t="s">
        <v>2972</v>
      </c>
      <c r="G566" s="3" t="s">
        <v>481</v>
      </c>
      <c r="H566" s="3" t="s">
        <v>2973</v>
      </c>
      <c r="I566" s="3" t="s">
        <v>2974</v>
      </c>
      <c r="J566" s="3" t="s">
        <v>2975</v>
      </c>
      <c r="K566" s="0" t="n">
        <v>0</v>
      </c>
      <c r="L566" s="0" t="n">
        <v>1000</v>
      </c>
      <c r="M566" s="0" t="n">
        <v>0</v>
      </c>
      <c r="N566" s="0" t="n">
        <v>1000</v>
      </c>
      <c r="O566" s="0" t="n">
        <v>0</v>
      </c>
      <c r="P566" s="0" t="n">
        <v>1000</v>
      </c>
    </row>
    <row r="567" customFormat="false" ht="15" hidden="false" customHeight="false" outlineLevel="0" collapsed="false">
      <c r="A567" s="3" t="s">
        <v>2976</v>
      </c>
      <c r="B567" s="3" t="s">
        <v>2977</v>
      </c>
      <c r="C567" s="3" t="s">
        <v>2978</v>
      </c>
      <c r="D567" s="7" t="n">
        <v>2</v>
      </c>
      <c r="E567" s="3" t="s">
        <v>2979</v>
      </c>
      <c r="F567" s="7" t="n">
        <v>19077236</v>
      </c>
      <c r="G567" s="3" t="s">
        <v>1217</v>
      </c>
      <c r="H567" s="3" t="s">
        <v>2980</v>
      </c>
      <c r="I567" s="3" t="s">
        <v>2981</v>
      </c>
      <c r="J567" s="3" t="s">
        <v>2982</v>
      </c>
      <c r="K567" s="0" t="n">
        <v>-1000</v>
      </c>
      <c r="L567" s="0" t="n">
        <v>1000</v>
      </c>
      <c r="M567" s="0" t="n">
        <v>-1000</v>
      </c>
      <c r="N567" s="0" t="n">
        <v>1000</v>
      </c>
      <c r="O567" s="0" t="n">
        <v>-1000</v>
      </c>
      <c r="P567" s="0" t="n">
        <v>1000</v>
      </c>
    </row>
    <row r="568" customFormat="false" ht="15" hidden="false" customHeight="false" outlineLevel="0" collapsed="false">
      <c r="A568" s="3" t="s">
        <v>2983</v>
      </c>
      <c r="B568" s="3" t="s">
        <v>2977</v>
      </c>
      <c r="C568" s="3" t="s">
        <v>2984</v>
      </c>
      <c r="D568" s="7" t="n">
        <v>2</v>
      </c>
      <c r="E568" s="3" t="s">
        <v>2979</v>
      </c>
      <c r="F568" s="7" t="n">
        <v>19077236</v>
      </c>
      <c r="G568" s="3" t="s">
        <v>1217</v>
      </c>
      <c r="H568" s="3" t="s">
        <v>2980</v>
      </c>
      <c r="I568" s="3" t="s">
        <v>2981</v>
      </c>
      <c r="J568" s="3" t="s">
        <v>2982</v>
      </c>
      <c r="K568" s="0" t="n">
        <v>-1000</v>
      </c>
      <c r="L568" s="0" t="n">
        <v>1000</v>
      </c>
      <c r="M568" s="0" t="n">
        <v>-1000</v>
      </c>
      <c r="N568" s="0" t="n">
        <v>1000</v>
      </c>
      <c r="O568" s="0" t="n">
        <v>-1000</v>
      </c>
      <c r="P568" s="0" t="n">
        <v>1000</v>
      </c>
    </row>
    <row r="569" customFormat="false" ht="15" hidden="false" customHeight="false" outlineLevel="0" collapsed="false">
      <c r="A569" s="3" t="s">
        <v>2985</v>
      </c>
      <c r="B569" s="3" t="s">
        <v>2986</v>
      </c>
      <c r="C569" s="3" t="s">
        <v>2987</v>
      </c>
      <c r="D569" s="7" t="n">
        <v>1</v>
      </c>
      <c r="E569" s="3" t="s">
        <v>2988</v>
      </c>
      <c r="G569" s="3" t="s">
        <v>251</v>
      </c>
      <c r="K569" s="0" t="n">
        <v>0</v>
      </c>
      <c r="L569" s="0" t="n">
        <v>1000</v>
      </c>
      <c r="M569" s="0" t="n">
        <v>0</v>
      </c>
      <c r="N569" s="0" t="n">
        <v>1000</v>
      </c>
      <c r="O569" s="0" t="n">
        <v>0</v>
      </c>
      <c r="P569" s="0" t="n">
        <v>1000</v>
      </c>
    </row>
    <row r="570" customFormat="false" ht="15" hidden="false" customHeight="false" outlineLevel="0" collapsed="false">
      <c r="A570" s="3" t="s">
        <v>2989</v>
      </c>
      <c r="B570" s="3" t="s">
        <v>2990</v>
      </c>
      <c r="C570" s="3" t="s">
        <v>2991</v>
      </c>
      <c r="D570" s="7" t="n">
        <v>1</v>
      </c>
      <c r="E570" s="3" t="s">
        <v>2988</v>
      </c>
      <c r="G570" s="3" t="s">
        <v>251</v>
      </c>
      <c r="K570" s="0" t="n">
        <v>0</v>
      </c>
      <c r="L570" s="0" t="n">
        <v>1000</v>
      </c>
      <c r="M570" s="0" t="n">
        <v>0</v>
      </c>
      <c r="N570" s="0" t="n">
        <v>1000</v>
      </c>
      <c r="O570" s="0" t="n">
        <v>0</v>
      </c>
      <c r="P570" s="0" t="n">
        <v>1000</v>
      </c>
    </row>
    <row r="571" customFormat="false" ht="15" hidden="false" customHeight="false" outlineLevel="0" collapsed="false">
      <c r="A571" s="3" t="s">
        <v>2992</v>
      </c>
      <c r="B571" s="3" t="s">
        <v>2993</v>
      </c>
      <c r="C571" s="3" t="s">
        <v>2994</v>
      </c>
      <c r="D571" s="7" t="n">
        <v>1</v>
      </c>
      <c r="E571" s="3" t="s">
        <v>2995</v>
      </c>
      <c r="G571" s="3" t="s">
        <v>251</v>
      </c>
      <c r="K571" s="0" t="n">
        <v>-1000</v>
      </c>
      <c r="L571" s="0" t="n">
        <v>1000</v>
      </c>
      <c r="M571" s="0" t="n">
        <v>-1000</v>
      </c>
      <c r="N571" s="0" t="n">
        <v>1000</v>
      </c>
      <c r="O571" s="0" t="n">
        <v>-1000</v>
      </c>
      <c r="P571" s="0" t="n">
        <v>1000</v>
      </c>
    </row>
    <row r="572" customFormat="false" ht="15" hidden="false" customHeight="false" outlineLevel="0" collapsed="false">
      <c r="A572" s="3" t="s">
        <v>2996</v>
      </c>
      <c r="B572" s="3" t="s">
        <v>2997</v>
      </c>
      <c r="C572" s="3" t="s">
        <v>2998</v>
      </c>
      <c r="D572" s="7" t="n">
        <v>2</v>
      </c>
      <c r="E572" s="3" t="s">
        <v>2999</v>
      </c>
      <c r="G572" s="3" t="s">
        <v>405</v>
      </c>
      <c r="H572" s="3" t="s">
        <v>3000</v>
      </c>
      <c r="I572" s="3" t="s">
        <v>3001</v>
      </c>
      <c r="J572" s="3" t="s">
        <v>3002</v>
      </c>
      <c r="K572" s="0" t="n">
        <v>-1000</v>
      </c>
      <c r="L572" s="0" t="n">
        <v>1000</v>
      </c>
      <c r="M572" s="0" t="n">
        <v>-1000</v>
      </c>
      <c r="N572" s="0" t="n">
        <v>1000</v>
      </c>
      <c r="O572" s="0" t="n">
        <v>-1000</v>
      </c>
      <c r="P572" s="0" t="n">
        <v>1000</v>
      </c>
    </row>
    <row r="573" customFormat="false" ht="15" hidden="false" customHeight="false" outlineLevel="0" collapsed="false">
      <c r="A573" s="3" t="s">
        <v>3003</v>
      </c>
      <c r="B573" s="3" t="s">
        <v>3004</v>
      </c>
      <c r="C573" s="3" t="s">
        <v>3005</v>
      </c>
      <c r="D573" s="7" t="n">
        <v>2</v>
      </c>
      <c r="E573" s="3" t="s">
        <v>3006</v>
      </c>
      <c r="G573" s="3" t="s">
        <v>405</v>
      </c>
      <c r="H573" s="3" t="s">
        <v>3007</v>
      </c>
      <c r="I573" s="3" t="s">
        <v>3008</v>
      </c>
      <c r="J573" s="3" t="s">
        <v>3009</v>
      </c>
      <c r="K573" s="0" t="n">
        <v>0</v>
      </c>
      <c r="L573" s="0" t="n">
        <v>1000</v>
      </c>
      <c r="M573" s="0" t="n">
        <v>0</v>
      </c>
      <c r="N573" s="0" t="n">
        <v>1000</v>
      </c>
      <c r="O573" s="0" t="n">
        <v>0</v>
      </c>
      <c r="P573" s="0" t="n">
        <v>1000</v>
      </c>
    </row>
    <row r="574" customFormat="false" ht="15" hidden="false" customHeight="false" outlineLevel="0" collapsed="false">
      <c r="A574" s="3" t="s">
        <v>3010</v>
      </c>
      <c r="B574" s="3" t="s">
        <v>3011</v>
      </c>
      <c r="C574" s="3" t="s">
        <v>3012</v>
      </c>
      <c r="D574" s="7" t="n">
        <v>2</v>
      </c>
      <c r="E574" s="3" t="s">
        <v>3013</v>
      </c>
      <c r="F574" s="7" t="n">
        <v>19077236</v>
      </c>
      <c r="G574" s="3" t="s">
        <v>1211</v>
      </c>
      <c r="H574" s="3" t="s">
        <v>3014</v>
      </c>
      <c r="I574" s="3" t="s">
        <v>3015</v>
      </c>
      <c r="J574" s="3" t="s">
        <v>3016</v>
      </c>
      <c r="K574" s="0" t="n">
        <v>-1000</v>
      </c>
      <c r="L574" s="0" t="n">
        <v>1000</v>
      </c>
      <c r="M574" s="0" t="n">
        <v>-1000</v>
      </c>
      <c r="N574" s="0" t="n">
        <v>1000</v>
      </c>
      <c r="O574" s="0" t="n">
        <v>-1000</v>
      </c>
      <c r="P574" s="0" t="n">
        <v>1000</v>
      </c>
    </row>
    <row r="575" customFormat="false" ht="15" hidden="false" customHeight="false" outlineLevel="0" collapsed="false">
      <c r="A575" s="3" t="s">
        <v>3017</v>
      </c>
      <c r="B575" s="3" t="s">
        <v>3018</v>
      </c>
      <c r="C575" s="3" t="s">
        <v>3019</v>
      </c>
      <c r="D575" s="7" t="n">
        <v>2</v>
      </c>
      <c r="E575" s="3" t="s">
        <v>3020</v>
      </c>
      <c r="F575" s="7" t="n">
        <v>19077236</v>
      </c>
      <c r="G575" s="3" t="s">
        <v>544</v>
      </c>
      <c r="H575" s="3" t="s">
        <v>3021</v>
      </c>
      <c r="I575" s="3" t="s">
        <v>3022</v>
      </c>
      <c r="J575" s="3" t="s">
        <v>3023</v>
      </c>
      <c r="K575" s="0" t="n">
        <v>0</v>
      </c>
      <c r="L575" s="0" t="n">
        <v>1000</v>
      </c>
      <c r="M575" s="0" t="n">
        <v>0</v>
      </c>
      <c r="N575" s="0" t="n">
        <v>1000</v>
      </c>
      <c r="O575" s="0" t="n">
        <v>0</v>
      </c>
      <c r="P575" s="0" t="n">
        <v>1000</v>
      </c>
    </row>
    <row r="576" customFormat="false" ht="15" hidden="false" customHeight="false" outlineLevel="0" collapsed="false">
      <c r="A576" s="3" t="s">
        <v>3024</v>
      </c>
      <c r="B576" s="3" t="s">
        <v>3025</v>
      </c>
      <c r="C576" s="3" t="s">
        <v>3026</v>
      </c>
      <c r="D576" s="7" t="n">
        <v>2</v>
      </c>
      <c r="E576" s="3" t="s">
        <v>3027</v>
      </c>
      <c r="G576" s="3" t="s">
        <v>423</v>
      </c>
      <c r="H576" s="3" t="s">
        <v>3028</v>
      </c>
      <c r="I576" s="3" t="s">
        <v>3029</v>
      </c>
      <c r="J576" s="3" t="s">
        <v>3030</v>
      </c>
      <c r="K576" s="0" t="n">
        <v>-1000</v>
      </c>
      <c r="L576" s="0" t="n">
        <v>1000</v>
      </c>
      <c r="M576" s="0" t="n">
        <v>-1000</v>
      </c>
      <c r="N576" s="0" t="n">
        <v>1000</v>
      </c>
      <c r="O576" s="0" t="n">
        <v>-1000</v>
      </c>
      <c r="P576" s="0" t="n">
        <v>1000</v>
      </c>
    </row>
    <row r="577" customFormat="false" ht="15" hidden="false" customHeight="false" outlineLevel="0" collapsed="false">
      <c r="A577" s="3" t="s">
        <v>3031</v>
      </c>
      <c r="B577" s="3" t="s">
        <v>3032</v>
      </c>
      <c r="C577" s="3" t="s">
        <v>3033</v>
      </c>
      <c r="D577" s="7" t="n">
        <v>2</v>
      </c>
      <c r="E577" s="3" t="s">
        <v>3027</v>
      </c>
      <c r="G577" s="3" t="s">
        <v>423</v>
      </c>
      <c r="H577" s="3" t="s">
        <v>3034</v>
      </c>
      <c r="I577" s="3" t="s">
        <v>3035</v>
      </c>
      <c r="J577" s="3" t="s">
        <v>3036</v>
      </c>
      <c r="K577" s="0" t="n">
        <v>-1000</v>
      </c>
      <c r="L577" s="0" t="n">
        <v>1000</v>
      </c>
      <c r="M577" s="0" t="n">
        <v>-1000</v>
      </c>
      <c r="N577" s="0" t="n">
        <v>1000</v>
      </c>
      <c r="O577" s="0" t="n">
        <v>-1000</v>
      </c>
      <c r="P577" s="0" t="n">
        <v>1000</v>
      </c>
    </row>
    <row r="578" customFormat="false" ht="15" hidden="false" customHeight="false" outlineLevel="0" collapsed="false">
      <c r="A578" s="3" t="s">
        <v>3037</v>
      </c>
      <c r="B578" s="3" t="s">
        <v>3038</v>
      </c>
      <c r="C578" s="3" t="s">
        <v>3039</v>
      </c>
      <c r="D578" s="7" t="n">
        <v>1</v>
      </c>
      <c r="E578" s="3" t="s">
        <v>3040</v>
      </c>
      <c r="G578" s="3" t="s">
        <v>391</v>
      </c>
      <c r="K578" s="0" t="n">
        <v>-1000</v>
      </c>
      <c r="L578" s="0" t="n">
        <v>1000</v>
      </c>
      <c r="M578" s="0" t="n">
        <v>-1000</v>
      </c>
      <c r="N578" s="0" t="n">
        <v>1000</v>
      </c>
      <c r="O578" s="0" t="n">
        <v>-1000</v>
      </c>
      <c r="P578" s="0" t="n">
        <v>1000</v>
      </c>
    </row>
    <row r="579" customFormat="false" ht="15" hidden="false" customHeight="false" outlineLevel="0" collapsed="false">
      <c r="A579" s="3" t="s">
        <v>3041</v>
      </c>
      <c r="B579" s="3" t="s">
        <v>3042</v>
      </c>
      <c r="C579" s="3" t="s">
        <v>3043</v>
      </c>
      <c r="D579" s="7" t="n">
        <v>3</v>
      </c>
      <c r="F579" s="7" t="n">
        <v>19703284</v>
      </c>
      <c r="G579" s="3" t="s">
        <v>238</v>
      </c>
      <c r="H579" s="3" t="s">
        <v>3044</v>
      </c>
      <c r="I579" s="3" t="s">
        <v>3045</v>
      </c>
      <c r="J579" s="3" t="s">
        <v>3046</v>
      </c>
      <c r="K579" s="0" t="n">
        <v>0</v>
      </c>
      <c r="L579" s="0" t="n">
        <v>1000</v>
      </c>
      <c r="M579" s="0" t="n">
        <v>0</v>
      </c>
      <c r="N579" s="0" t="n">
        <v>1000</v>
      </c>
      <c r="O579" s="0" t="n">
        <v>0</v>
      </c>
      <c r="P579" s="0" t="n">
        <v>1000</v>
      </c>
    </row>
    <row r="580" customFormat="false" ht="15" hidden="false" customHeight="false" outlineLevel="0" collapsed="false">
      <c r="A580" s="3" t="s">
        <v>3047</v>
      </c>
      <c r="B580" s="3" t="s">
        <v>3048</v>
      </c>
      <c r="C580" s="3" t="s">
        <v>3049</v>
      </c>
      <c r="D580" s="7" t="n">
        <v>1</v>
      </c>
      <c r="G580" s="3" t="s">
        <v>139</v>
      </c>
      <c r="K580" s="0" t="n">
        <v>-1000</v>
      </c>
      <c r="L580" s="0" t="n">
        <v>1000</v>
      </c>
      <c r="M580" s="0" t="n">
        <v>-1000</v>
      </c>
      <c r="N580" s="0" t="n">
        <v>1000</v>
      </c>
      <c r="O580" s="0" t="n">
        <v>-1000</v>
      </c>
      <c r="P580" s="0" t="n">
        <v>1000</v>
      </c>
    </row>
    <row r="581" customFormat="false" ht="15" hidden="false" customHeight="false" outlineLevel="0" collapsed="false">
      <c r="A581" s="3" t="s">
        <v>3050</v>
      </c>
      <c r="B581" s="3" t="s">
        <v>3051</v>
      </c>
      <c r="C581" s="3" t="s">
        <v>3052</v>
      </c>
      <c r="D581" s="7" t="n">
        <v>2</v>
      </c>
      <c r="G581" s="3" t="s">
        <v>405</v>
      </c>
      <c r="H581" s="3" t="s">
        <v>3053</v>
      </c>
      <c r="I581" s="3" t="s">
        <v>3054</v>
      </c>
      <c r="J581" s="3" t="s">
        <v>3055</v>
      </c>
      <c r="K581" s="0" t="n">
        <v>0</v>
      </c>
      <c r="L581" s="0" t="n">
        <v>1000</v>
      </c>
      <c r="M581" s="0" t="n">
        <v>0</v>
      </c>
      <c r="N581" s="0" t="n">
        <v>1000</v>
      </c>
      <c r="O581" s="0" t="n">
        <v>0</v>
      </c>
      <c r="P581" s="0" t="n">
        <v>1000</v>
      </c>
    </row>
    <row r="582" customFormat="false" ht="15" hidden="false" customHeight="false" outlineLevel="0" collapsed="false">
      <c r="A582" s="3" t="s">
        <v>3056</v>
      </c>
      <c r="B582" s="3" t="s">
        <v>3057</v>
      </c>
      <c r="C582" s="3" t="s">
        <v>3058</v>
      </c>
      <c r="D582" s="7" t="n">
        <v>2</v>
      </c>
      <c r="E582" s="3" t="s">
        <v>3059</v>
      </c>
      <c r="G582" s="3" t="s">
        <v>481</v>
      </c>
      <c r="H582" s="3" t="s">
        <v>3060</v>
      </c>
      <c r="I582" s="3" t="s">
        <v>3061</v>
      </c>
      <c r="J582" s="3" t="s">
        <v>3062</v>
      </c>
      <c r="K582" s="0" t="n">
        <v>-1000</v>
      </c>
      <c r="L582" s="0" t="n">
        <v>1000</v>
      </c>
      <c r="M582" s="0" t="n">
        <v>-1000</v>
      </c>
      <c r="N582" s="0" t="n">
        <v>1000</v>
      </c>
      <c r="O582" s="0" t="n">
        <v>-1000</v>
      </c>
      <c r="P582" s="0" t="n">
        <v>1000</v>
      </c>
    </row>
    <row r="583" customFormat="false" ht="15" hidden="false" customHeight="false" outlineLevel="0" collapsed="false">
      <c r="A583" s="3" t="s">
        <v>3063</v>
      </c>
      <c r="B583" s="3" t="s">
        <v>3064</v>
      </c>
      <c r="C583" s="3" t="s">
        <v>3065</v>
      </c>
      <c r="D583" s="7" t="n">
        <v>1</v>
      </c>
      <c r="G583" s="3" t="s">
        <v>139</v>
      </c>
      <c r="K583" s="0" t="n">
        <v>-1000</v>
      </c>
      <c r="L583" s="0" t="n">
        <v>1000</v>
      </c>
      <c r="M583" s="0" t="n">
        <v>-1000</v>
      </c>
      <c r="N583" s="0" t="n">
        <v>1000</v>
      </c>
      <c r="O583" s="0" t="n">
        <v>-1000</v>
      </c>
      <c r="P583" s="0" t="n">
        <v>1000</v>
      </c>
    </row>
    <row r="584" customFormat="false" ht="15" hidden="false" customHeight="false" outlineLevel="0" collapsed="false">
      <c r="A584" s="3" t="s">
        <v>3066</v>
      </c>
      <c r="B584" s="3" t="s">
        <v>3067</v>
      </c>
      <c r="C584" s="3" t="s">
        <v>3068</v>
      </c>
      <c r="D584" s="7" t="n">
        <v>2</v>
      </c>
      <c r="E584" s="3" t="s">
        <v>1894</v>
      </c>
      <c r="G584" s="3" t="s">
        <v>423</v>
      </c>
      <c r="H584" s="3" t="s">
        <v>526</v>
      </c>
      <c r="I584" s="3" t="s">
        <v>527</v>
      </c>
      <c r="J584" s="3" t="s">
        <v>528</v>
      </c>
      <c r="K584" s="0" t="n">
        <v>-1000</v>
      </c>
      <c r="L584" s="0" t="n">
        <v>1000</v>
      </c>
      <c r="M584" s="0" t="n">
        <v>-1000</v>
      </c>
      <c r="N584" s="0" t="n">
        <v>1000</v>
      </c>
      <c r="O584" s="0" t="n">
        <v>-1000</v>
      </c>
      <c r="P584" s="0" t="n">
        <v>1000</v>
      </c>
    </row>
    <row r="585" customFormat="false" ht="15" hidden="false" customHeight="false" outlineLevel="0" collapsed="false">
      <c r="A585" s="3" t="s">
        <v>3069</v>
      </c>
      <c r="B585" s="3" t="s">
        <v>3070</v>
      </c>
      <c r="C585" s="3" t="s">
        <v>3071</v>
      </c>
      <c r="D585" s="7" t="n">
        <v>3</v>
      </c>
      <c r="E585" s="3" t="s">
        <v>3072</v>
      </c>
      <c r="F585" s="7" t="n">
        <v>15044494</v>
      </c>
      <c r="G585" s="3" t="s">
        <v>1908</v>
      </c>
      <c r="H585" s="3" t="s">
        <v>3073</v>
      </c>
      <c r="I585" s="3" t="s">
        <v>3074</v>
      </c>
      <c r="J585" s="3" t="s">
        <v>3075</v>
      </c>
      <c r="K585" s="0" t="n">
        <v>0</v>
      </c>
      <c r="L585" s="0" t="n">
        <v>1000</v>
      </c>
      <c r="M585" s="0" t="n">
        <v>0</v>
      </c>
      <c r="N585" s="0" t="n">
        <v>1000</v>
      </c>
      <c r="O585" s="0" t="n">
        <v>0</v>
      </c>
      <c r="P585" s="0" t="n">
        <v>1000</v>
      </c>
    </row>
    <row r="586" customFormat="false" ht="15" hidden="false" customHeight="false" outlineLevel="0" collapsed="false">
      <c r="A586" s="3" t="s">
        <v>3076</v>
      </c>
      <c r="B586" s="3" t="s">
        <v>3077</v>
      </c>
      <c r="C586" s="3" t="s">
        <v>3078</v>
      </c>
      <c r="D586" s="7" t="n">
        <v>3</v>
      </c>
      <c r="E586" s="3" t="s">
        <v>3079</v>
      </c>
      <c r="F586" s="7" t="n">
        <v>15044494</v>
      </c>
      <c r="G586" s="3" t="s">
        <v>1908</v>
      </c>
      <c r="H586" s="3" t="s">
        <v>3080</v>
      </c>
      <c r="I586" s="3" t="s">
        <v>3081</v>
      </c>
      <c r="J586" s="3" t="s">
        <v>3082</v>
      </c>
      <c r="K586" s="0" t="n">
        <v>0</v>
      </c>
      <c r="L586" s="0" t="n">
        <v>1000</v>
      </c>
      <c r="M586" s="0" t="n">
        <v>0</v>
      </c>
      <c r="N586" s="0" t="n">
        <v>1000</v>
      </c>
      <c r="O586" s="0" t="n">
        <v>0</v>
      </c>
      <c r="P586" s="0" t="n">
        <v>1000</v>
      </c>
    </row>
    <row r="587" customFormat="false" ht="15" hidden="false" customHeight="false" outlineLevel="0" collapsed="false">
      <c r="A587" s="3" t="s">
        <v>3083</v>
      </c>
      <c r="B587" s="3" t="s">
        <v>3084</v>
      </c>
      <c r="C587" s="3" t="s">
        <v>3085</v>
      </c>
      <c r="D587" s="7" t="n">
        <v>2</v>
      </c>
      <c r="E587" s="3" t="s">
        <v>3086</v>
      </c>
      <c r="G587" s="3" t="s">
        <v>1479</v>
      </c>
      <c r="H587" s="3" t="s">
        <v>3087</v>
      </c>
      <c r="I587" s="3" t="s">
        <v>3088</v>
      </c>
      <c r="J587" s="3" t="s">
        <v>3089</v>
      </c>
      <c r="K587" s="0" t="n">
        <v>-1000</v>
      </c>
      <c r="L587" s="0" t="n">
        <v>1000</v>
      </c>
      <c r="M587" s="0" t="n">
        <v>-1000</v>
      </c>
      <c r="N587" s="0" t="n">
        <v>1000</v>
      </c>
      <c r="O587" s="0" t="n">
        <v>-1000</v>
      </c>
      <c r="P587" s="0" t="n">
        <v>1000</v>
      </c>
    </row>
    <row r="588" customFormat="false" ht="15" hidden="false" customHeight="false" outlineLevel="0" collapsed="false">
      <c r="A588" s="3" t="s">
        <v>3090</v>
      </c>
      <c r="B588" s="3" t="s">
        <v>3091</v>
      </c>
      <c r="C588" s="3" t="s">
        <v>3092</v>
      </c>
      <c r="D588" s="7" t="n">
        <v>3</v>
      </c>
      <c r="F588" s="7" t="n">
        <v>15044494</v>
      </c>
      <c r="G588" s="3" t="s">
        <v>328</v>
      </c>
      <c r="H588" s="3" t="s">
        <v>3093</v>
      </c>
      <c r="I588" s="3" t="s">
        <v>3094</v>
      </c>
      <c r="J588" s="3" t="s">
        <v>3095</v>
      </c>
      <c r="K588" s="0" t="n">
        <v>0</v>
      </c>
      <c r="L588" s="0" t="n">
        <v>1000</v>
      </c>
      <c r="M588" s="0" t="n">
        <v>0</v>
      </c>
      <c r="N588" s="0" t="n">
        <v>1000</v>
      </c>
      <c r="O588" s="0" t="n">
        <v>0</v>
      </c>
      <c r="P588" s="0" t="n">
        <v>1000</v>
      </c>
    </row>
    <row r="589" customFormat="false" ht="15" hidden="false" customHeight="false" outlineLevel="0" collapsed="false">
      <c r="A589" s="3" t="s">
        <v>3096</v>
      </c>
      <c r="B589" s="3" t="s">
        <v>3097</v>
      </c>
      <c r="C589" s="3" t="s">
        <v>3098</v>
      </c>
      <c r="D589" s="7" t="n">
        <v>3</v>
      </c>
      <c r="E589" s="3" t="s">
        <v>3099</v>
      </c>
      <c r="F589" s="7" t="n">
        <v>15044494</v>
      </c>
      <c r="G589" s="3" t="s">
        <v>1908</v>
      </c>
      <c r="H589" s="3" t="s">
        <v>3100</v>
      </c>
      <c r="I589" s="3" t="s">
        <v>3101</v>
      </c>
      <c r="J589" s="3" t="s">
        <v>3102</v>
      </c>
      <c r="K589" s="0" t="n">
        <v>0</v>
      </c>
      <c r="L589" s="0" t="n">
        <v>1000</v>
      </c>
      <c r="M589" s="0" t="n">
        <v>0</v>
      </c>
      <c r="N589" s="0" t="n">
        <v>1000</v>
      </c>
      <c r="O589" s="0" t="n">
        <v>0</v>
      </c>
      <c r="P589" s="0" t="n">
        <v>1000</v>
      </c>
    </row>
    <row r="590" customFormat="false" ht="15" hidden="false" customHeight="false" outlineLevel="0" collapsed="false">
      <c r="A590" s="3" t="s">
        <v>3103</v>
      </c>
      <c r="B590" s="3" t="s">
        <v>3104</v>
      </c>
      <c r="C590" s="3" t="s">
        <v>3105</v>
      </c>
      <c r="D590" s="7" t="n">
        <v>2</v>
      </c>
      <c r="E590" s="3" t="s">
        <v>3106</v>
      </c>
      <c r="G590" s="3" t="s">
        <v>1479</v>
      </c>
      <c r="H590" s="3" t="s">
        <v>3107</v>
      </c>
      <c r="I590" s="3" t="s">
        <v>3108</v>
      </c>
      <c r="J590" s="3" t="s">
        <v>3109</v>
      </c>
      <c r="K590" s="0" t="n">
        <v>-1000</v>
      </c>
      <c r="L590" s="0" t="n">
        <v>1000</v>
      </c>
      <c r="M590" s="0" t="n">
        <v>-1000</v>
      </c>
      <c r="N590" s="0" t="n">
        <v>1000</v>
      </c>
      <c r="O590" s="0" t="n">
        <v>-1000</v>
      </c>
      <c r="P590" s="0" t="n">
        <v>1000</v>
      </c>
    </row>
    <row r="591" customFormat="false" ht="15" hidden="false" customHeight="false" outlineLevel="0" collapsed="false">
      <c r="A591" s="3" t="s">
        <v>3110</v>
      </c>
      <c r="B591" s="3" t="s">
        <v>3111</v>
      </c>
      <c r="C591" s="3" t="s">
        <v>3112</v>
      </c>
      <c r="D591" s="7" t="n">
        <v>2</v>
      </c>
      <c r="E591" s="3" t="s">
        <v>3113</v>
      </c>
      <c r="G591" s="3" t="s">
        <v>1292</v>
      </c>
      <c r="H591" s="3" t="s">
        <v>1293</v>
      </c>
      <c r="I591" s="3" t="s">
        <v>1294</v>
      </c>
      <c r="J591" s="3" t="s">
        <v>1295</v>
      </c>
      <c r="K591" s="0" t="n">
        <v>0</v>
      </c>
      <c r="L591" s="0" t="n">
        <v>1000</v>
      </c>
      <c r="M591" s="0" t="n">
        <v>0</v>
      </c>
      <c r="N591" s="0" t="n">
        <v>1000</v>
      </c>
      <c r="O591" s="0" t="n">
        <v>0</v>
      </c>
      <c r="P591" s="0" t="n">
        <v>1000</v>
      </c>
    </row>
    <row r="592" customFormat="false" ht="15" hidden="false" customHeight="false" outlineLevel="0" collapsed="false">
      <c r="A592" s="3" t="s">
        <v>3114</v>
      </c>
      <c r="B592" s="3" t="s">
        <v>3115</v>
      </c>
      <c r="C592" s="3" t="s">
        <v>3116</v>
      </c>
      <c r="D592" s="7" t="n">
        <v>2</v>
      </c>
      <c r="E592" s="3" t="s">
        <v>3117</v>
      </c>
      <c r="G592" s="3" t="s">
        <v>1479</v>
      </c>
      <c r="H592" s="3" t="s">
        <v>3118</v>
      </c>
      <c r="I592" s="3" t="s">
        <v>3119</v>
      </c>
      <c r="J592" s="3" t="s">
        <v>3120</v>
      </c>
      <c r="K592" s="0" t="n">
        <v>-1000</v>
      </c>
      <c r="L592" s="0" t="n">
        <v>1000</v>
      </c>
      <c r="M592" s="0" t="n">
        <v>-1000</v>
      </c>
      <c r="N592" s="0" t="n">
        <v>1000</v>
      </c>
      <c r="O592" s="0" t="n">
        <v>-1000</v>
      </c>
      <c r="P592" s="0" t="n">
        <v>1000</v>
      </c>
    </row>
    <row r="593" customFormat="false" ht="15" hidden="false" customHeight="false" outlineLevel="0" collapsed="false">
      <c r="A593" s="3" t="s">
        <v>3121</v>
      </c>
      <c r="B593" s="3" t="s">
        <v>3122</v>
      </c>
      <c r="C593" s="3" t="s">
        <v>3123</v>
      </c>
      <c r="D593" s="7" t="n">
        <v>2</v>
      </c>
      <c r="E593" s="3" t="s">
        <v>3124</v>
      </c>
      <c r="G593" s="3" t="s">
        <v>1479</v>
      </c>
      <c r="H593" s="3" t="s">
        <v>3125</v>
      </c>
      <c r="I593" s="3" t="s">
        <v>3126</v>
      </c>
      <c r="J593" s="3" t="s">
        <v>3127</v>
      </c>
      <c r="K593" s="0" t="n">
        <v>-1000</v>
      </c>
      <c r="L593" s="0" t="n">
        <v>1000</v>
      </c>
      <c r="M593" s="0" t="n">
        <v>-1000</v>
      </c>
      <c r="N593" s="0" t="n">
        <v>1000</v>
      </c>
      <c r="O593" s="0" t="n">
        <v>-1000</v>
      </c>
      <c r="P593" s="0" t="n">
        <v>1000</v>
      </c>
    </row>
    <row r="594" customFormat="false" ht="15" hidden="false" customHeight="false" outlineLevel="0" collapsed="false">
      <c r="A594" s="3" t="s">
        <v>3128</v>
      </c>
      <c r="B594" s="3" t="s">
        <v>3129</v>
      </c>
      <c r="C594" s="3" t="s">
        <v>3130</v>
      </c>
      <c r="D594" s="7" t="n">
        <v>2</v>
      </c>
      <c r="E594" s="3" t="s">
        <v>3131</v>
      </c>
      <c r="G594" s="3" t="s">
        <v>1479</v>
      </c>
      <c r="H594" s="3" t="s">
        <v>3132</v>
      </c>
      <c r="I594" s="3" t="s">
        <v>3133</v>
      </c>
      <c r="J594" s="3" t="s">
        <v>3134</v>
      </c>
      <c r="K594" s="0" t="n">
        <v>-1000</v>
      </c>
      <c r="L594" s="0" t="n">
        <v>1000</v>
      </c>
      <c r="M594" s="0" t="n">
        <v>-1000</v>
      </c>
      <c r="N594" s="0" t="n">
        <v>1000</v>
      </c>
      <c r="O594" s="0" t="n">
        <v>-1000</v>
      </c>
      <c r="P594" s="0" t="n">
        <v>1000</v>
      </c>
    </row>
    <row r="595" customFormat="false" ht="15" hidden="false" customHeight="false" outlineLevel="0" collapsed="false">
      <c r="A595" s="3" t="s">
        <v>3135</v>
      </c>
      <c r="B595" s="3" t="s">
        <v>3136</v>
      </c>
      <c r="C595" s="3" t="s">
        <v>3137</v>
      </c>
      <c r="D595" s="7" t="n">
        <v>2</v>
      </c>
      <c r="E595" s="3" t="s">
        <v>3138</v>
      </c>
      <c r="G595" s="3" t="s">
        <v>1479</v>
      </c>
      <c r="H595" s="3" t="s">
        <v>2398</v>
      </c>
      <c r="I595" s="3" t="s">
        <v>2399</v>
      </c>
      <c r="J595" s="3" t="s">
        <v>2400</v>
      </c>
      <c r="K595" s="0" t="n">
        <v>0</v>
      </c>
      <c r="L595" s="0" t="n">
        <v>1000</v>
      </c>
      <c r="M595" s="0" t="n">
        <v>0</v>
      </c>
      <c r="N595" s="0" t="n">
        <v>1000</v>
      </c>
      <c r="O595" s="0" t="n">
        <v>0</v>
      </c>
      <c r="P595" s="0" t="n">
        <v>1000</v>
      </c>
    </row>
    <row r="596" customFormat="false" ht="15" hidden="false" customHeight="false" outlineLevel="0" collapsed="false">
      <c r="A596" s="3" t="s">
        <v>3139</v>
      </c>
      <c r="B596" s="3" t="s">
        <v>3140</v>
      </c>
      <c r="C596" s="3" t="s">
        <v>3141</v>
      </c>
      <c r="D596" s="7" t="n">
        <v>2</v>
      </c>
      <c r="E596" s="3" t="s">
        <v>3142</v>
      </c>
      <c r="G596" s="3" t="s">
        <v>1032</v>
      </c>
      <c r="H596" s="3" t="s">
        <v>3143</v>
      </c>
      <c r="I596" s="3" t="s">
        <v>3144</v>
      </c>
      <c r="J596" s="3" t="s">
        <v>3143</v>
      </c>
      <c r="K596" s="0" t="n">
        <v>0</v>
      </c>
      <c r="L596" s="0" t="n">
        <v>1000</v>
      </c>
      <c r="M596" s="0" t="n">
        <v>0</v>
      </c>
      <c r="N596" s="0" t="n">
        <v>1000</v>
      </c>
      <c r="O596" s="0" t="n">
        <v>0</v>
      </c>
      <c r="P596" s="0" t="n">
        <v>1000</v>
      </c>
    </row>
    <row r="597" customFormat="false" ht="15" hidden="false" customHeight="false" outlineLevel="0" collapsed="false">
      <c r="A597" s="3" t="s">
        <v>3145</v>
      </c>
      <c r="B597" s="3" t="s">
        <v>3146</v>
      </c>
      <c r="C597" s="3" t="s">
        <v>3147</v>
      </c>
      <c r="D597" s="7" t="n">
        <v>2</v>
      </c>
      <c r="E597" s="3" t="s">
        <v>1031</v>
      </c>
      <c r="G597" s="3" t="s">
        <v>230</v>
      </c>
      <c r="H597" s="3" t="s">
        <v>1033</v>
      </c>
      <c r="I597" s="3" t="s">
        <v>1034</v>
      </c>
      <c r="J597" s="3" t="s">
        <v>1035</v>
      </c>
      <c r="K597" s="0" t="n">
        <v>-1000</v>
      </c>
      <c r="L597" s="0" t="n">
        <v>1000</v>
      </c>
      <c r="M597" s="0" t="n">
        <v>-1000</v>
      </c>
      <c r="N597" s="0" t="n">
        <v>1000</v>
      </c>
      <c r="O597" s="0" t="n">
        <v>-1000</v>
      </c>
      <c r="P597" s="0" t="n">
        <v>1000</v>
      </c>
    </row>
    <row r="598" customFormat="false" ht="15" hidden="false" customHeight="false" outlineLevel="0" collapsed="false">
      <c r="A598" s="3" t="s">
        <v>3148</v>
      </c>
      <c r="B598" s="3" t="s">
        <v>3149</v>
      </c>
      <c r="C598" s="3" t="s">
        <v>3150</v>
      </c>
      <c r="D598" s="7" t="n">
        <v>2</v>
      </c>
      <c r="E598" s="3" t="s">
        <v>1031</v>
      </c>
      <c r="G598" s="3" t="s">
        <v>1032</v>
      </c>
      <c r="H598" s="3" t="s">
        <v>3151</v>
      </c>
      <c r="I598" s="3" t="s">
        <v>1034</v>
      </c>
      <c r="J598" s="3" t="s">
        <v>1035</v>
      </c>
      <c r="K598" s="0" t="n">
        <v>0</v>
      </c>
      <c r="L598" s="0" t="n">
        <v>1000</v>
      </c>
      <c r="M598" s="0" t="n">
        <v>0</v>
      </c>
      <c r="N598" s="0" t="n">
        <v>1000</v>
      </c>
      <c r="O598" s="0" t="n">
        <v>0</v>
      </c>
      <c r="P598" s="0" t="n">
        <v>1000</v>
      </c>
    </row>
    <row r="599" customFormat="false" ht="15" hidden="false" customHeight="false" outlineLevel="0" collapsed="false">
      <c r="A599" s="3" t="s">
        <v>3152</v>
      </c>
      <c r="B599" s="3" t="s">
        <v>3153</v>
      </c>
      <c r="C599" s="3" t="s">
        <v>3154</v>
      </c>
      <c r="D599" s="7" t="n">
        <v>2</v>
      </c>
      <c r="E599" s="3" t="s">
        <v>3155</v>
      </c>
      <c r="G599" s="3" t="s">
        <v>3156</v>
      </c>
      <c r="H599" s="3" t="s">
        <v>3157</v>
      </c>
      <c r="I599" s="3" t="s">
        <v>3158</v>
      </c>
      <c r="J599" s="3" t="s">
        <v>3159</v>
      </c>
      <c r="K599" s="0" t="n">
        <v>-1000</v>
      </c>
      <c r="L599" s="0" t="n">
        <v>1000</v>
      </c>
      <c r="M599" s="0" t="n">
        <v>-1000</v>
      </c>
      <c r="N599" s="0" t="n">
        <v>1000</v>
      </c>
      <c r="O599" s="0" t="n">
        <v>-1000</v>
      </c>
      <c r="P599" s="0" t="n">
        <v>1000</v>
      </c>
    </row>
    <row r="600" customFormat="false" ht="15" hidden="false" customHeight="false" outlineLevel="0" collapsed="false">
      <c r="A600" s="3" t="s">
        <v>3160</v>
      </c>
      <c r="B600" s="3" t="s">
        <v>3161</v>
      </c>
      <c r="C600" s="3" t="s">
        <v>3162</v>
      </c>
      <c r="D600" s="7" t="n">
        <v>1</v>
      </c>
      <c r="E600" s="3" t="s">
        <v>3155</v>
      </c>
      <c r="G600" s="3" t="s">
        <v>3156</v>
      </c>
      <c r="K600" s="0" t="n">
        <v>0</v>
      </c>
      <c r="L600" s="0" t="n">
        <v>1000</v>
      </c>
      <c r="M600" s="0" t="n">
        <v>0</v>
      </c>
      <c r="N600" s="0" t="n">
        <v>1000</v>
      </c>
      <c r="O600" s="0" t="n">
        <v>0</v>
      </c>
      <c r="P600" s="0" t="n">
        <v>1000</v>
      </c>
    </row>
    <row r="601" customFormat="false" ht="15" hidden="false" customHeight="false" outlineLevel="0" collapsed="false">
      <c r="A601" s="3" t="s">
        <v>3163</v>
      </c>
      <c r="B601" s="3" t="s">
        <v>3164</v>
      </c>
      <c r="C601" s="3" t="s">
        <v>3165</v>
      </c>
      <c r="D601" s="7" t="n">
        <v>2</v>
      </c>
      <c r="E601" s="3" t="s">
        <v>3166</v>
      </c>
      <c r="G601" s="3" t="s">
        <v>1479</v>
      </c>
      <c r="H601" s="3" t="s">
        <v>3167</v>
      </c>
      <c r="I601" s="3" t="s">
        <v>3168</v>
      </c>
      <c r="J601" s="3" t="s">
        <v>3169</v>
      </c>
      <c r="K601" s="0" t="n">
        <v>0</v>
      </c>
      <c r="L601" s="0" t="n">
        <v>1000</v>
      </c>
      <c r="M601" s="0" t="n">
        <v>0</v>
      </c>
      <c r="N601" s="0" t="n">
        <v>1000</v>
      </c>
      <c r="O601" s="0" t="n">
        <v>0</v>
      </c>
      <c r="P601" s="0" t="n">
        <v>1000</v>
      </c>
    </row>
    <row r="602" customFormat="false" ht="15" hidden="false" customHeight="false" outlineLevel="0" collapsed="false">
      <c r="A602" s="3" t="s">
        <v>3170</v>
      </c>
      <c r="B602" s="3" t="s">
        <v>3070</v>
      </c>
      <c r="C602" s="3" t="s">
        <v>3171</v>
      </c>
      <c r="D602" s="7" t="n">
        <v>3</v>
      </c>
      <c r="E602" s="3" t="s">
        <v>3172</v>
      </c>
      <c r="F602" s="7" t="n">
        <v>15044494</v>
      </c>
      <c r="G602" s="3" t="s">
        <v>1908</v>
      </c>
      <c r="H602" s="3" t="s">
        <v>3173</v>
      </c>
      <c r="I602" s="3" t="s">
        <v>3174</v>
      </c>
      <c r="J602" s="3" t="s">
        <v>3175</v>
      </c>
      <c r="K602" s="0" t="n">
        <v>0</v>
      </c>
      <c r="L602" s="0" t="n">
        <v>1000</v>
      </c>
      <c r="M602" s="0" t="n">
        <v>0</v>
      </c>
      <c r="N602" s="0" t="n">
        <v>1000</v>
      </c>
      <c r="O602" s="0" t="n">
        <v>0</v>
      </c>
      <c r="P602" s="0" t="n">
        <v>1000</v>
      </c>
    </row>
    <row r="603" customFormat="false" ht="15" hidden="false" customHeight="false" outlineLevel="0" collapsed="false">
      <c r="A603" s="3" t="s">
        <v>3176</v>
      </c>
      <c r="B603" s="3" t="s">
        <v>3177</v>
      </c>
      <c r="C603" s="3" t="s">
        <v>3178</v>
      </c>
      <c r="D603" s="7" t="n">
        <v>2</v>
      </c>
      <c r="E603" s="3" t="s">
        <v>3179</v>
      </c>
      <c r="G603" s="3" t="s">
        <v>2820</v>
      </c>
      <c r="H603" s="3" t="s">
        <v>1652</v>
      </c>
      <c r="I603" s="3" t="s">
        <v>1653</v>
      </c>
      <c r="J603" s="3" t="s">
        <v>1654</v>
      </c>
      <c r="K603" s="0" t="n">
        <v>-1000</v>
      </c>
      <c r="L603" s="0" t="n">
        <v>1000</v>
      </c>
      <c r="M603" s="0" t="n">
        <v>-1000</v>
      </c>
      <c r="N603" s="0" t="n">
        <v>1000</v>
      </c>
      <c r="O603" s="0" t="n">
        <v>-1000</v>
      </c>
      <c r="P603" s="0" t="n">
        <v>1000</v>
      </c>
    </row>
    <row r="604" customFormat="false" ht="15" hidden="false" customHeight="false" outlineLevel="0" collapsed="false">
      <c r="A604" s="3" t="s">
        <v>3180</v>
      </c>
      <c r="B604" s="3" t="s">
        <v>3181</v>
      </c>
      <c r="C604" s="3" t="s">
        <v>3182</v>
      </c>
      <c r="D604" s="7" t="n">
        <v>2</v>
      </c>
      <c r="E604" s="3" t="s">
        <v>3179</v>
      </c>
      <c r="G604" s="3" t="s">
        <v>2820</v>
      </c>
      <c r="H604" s="3" t="s">
        <v>1652</v>
      </c>
      <c r="I604" s="3" t="s">
        <v>1653</v>
      </c>
      <c r="J604" s="3" t="s">
        <v>1654</v>
      </c>
      <c r="K604" s="0" t="n">
        <v>-1000</v>
      </c>
      <c r="L604" s="0" t="n">
        <v>1000</v>
      </c>
      <c r="M604" s="0" t="n">
        <v>-1000</v>
      </c>
      <c r="N604" s="0" t="n">
        <v>1000</v>
      </c>
      <c r="O604" s="0" t="n">
        <v>-1000</v>
      </c>
      <c r="P604" s="0" t="n">
        <v>1000</v>
      </c>
    </row>
    <row r="605" customFormat="false" ht="15" hidden="false" customHeight="false" outlineLevel="0" collapsed="false">
      <c r="A605" s="3" t="s">
        <v>3183</v>
      </c>
      <c r="B605" s="3" t="s">
        <v>3184</v>
      </c>
      <c r="C605" s="3" t="s">
        <v>3185</v>
      </c>
      <c r="D605" s="7" t="n">
        <v>2</v>
      </c>
      <c r="E605" s="3" t="s">
        <v>3186</v>
      </c>
      <c r="G605" s="3" t="s">
        <v>3187</v>
      </c>
      <c r="H605" s="3" t="s">
        <v>3188</v>
      </c>
      <c r="I605" s="3" t="s">
        <v>3189</v>
      </c>
      <c r="J605" s="3" t="s">
        <v>3190</v>
      </c>
      <c r="K605" s="0" t="n">
        <v>0</v>
      </c>
      <c r="L605" s="0" t="n">
        <v>1000</v>
      </c>
      <c r="M605" s="0" t="n">
        <v>0</v>
      </c>
      <c r="N605" s="0" t="n">
        <v>1000</v>
      </c>
      <c r="O605" s="0" t="n">
        <v>0</v>
      </c>
      <c r="P605" s="0" t="n">
        <v>1000</v>
      </c>
    </row>
    <row r="606" customFormat="false" ht="15" hidden="false" customHeight="false" outlineLevel="0" collapsed="false">
      <c r="A606" s="3" t="s">
        <v>3191</v>
      </c>
      <c r="B606" s="3" t="s">
        <v>3192</v>
      </c>
      <c r="C606" s="3" t="s">
        <v>3193</v>
      </c>
      <c r="D606" s="7" t="n">
        <v>2</v>
      </c>
      <c r="E606" s="3" t="s">
        <v>3194</v>
      </c>
      <c r="G606" s="3" t="s">
        <v>700</v>
      </c>
      <c r="H606" s="3" t="s">
        <v>3195</v>
      </c>
      <c r="I606" s="3" t="s">
        <v>3196</v>
      </c>
      <c r="J606" s="3" t="s">
        <v>3197</v>
      </c>
      <c r="K606" s="0" t="n">
        <v>0</v>
      </c>
      <c r="L606" s="0" t="n">
        <v>1000</v>
      </c>
      <c r="M606" s="0" t="n">
        <v>0</v>
      </c>
      <c r="N606" s="0" t="n">
        <v>1000</v>
      </c>
      <c r="O606" s="0" t="n">
        <v>0</v>
      </c>
      <c r="P606" s="0" t="n">
        <v>1000</v>
      </c>
    </row>
    <row r="607" customFormat="false" ht="15" hidden="false" customHeight="false" outlineLevel="0" collapsed="false">
      <c r="A607" s="3" t="s">
        <v>3198</v>
      </c>
      <c r="B607" s="3" t="s">
        <v>3199</v>
      </c>
      <c r="C607" s="3" t="s">
        <v>3200</v>
      </c>
      <c r="D607" s="7" t="n">
        <v>2</v>
      </c>
      <c r="E607" s="3" t="s">
        <v>3201</v>
      </c>
      <c r="G607" s="3" t="s">
        <v>308</v>
      </c>
      <c r="H607" s="3" t="s">
        <v>3202</v>
      </c>
      <c r="I607" s="3" t="s">
        <v>3203</v>
      </c>
      <c r="J607" s="3" t="s">
        <v>3204</v>
      </c>
      <c r="K607" s="0" t="n">
        <v>-1000</v>
      </c>
      <c r="L607" s="0" t="n">
        <v>1000</v>
      </c>
      <c r="M607" s="0" t="n">
        <v>-1000</v>
      </c>
      <c r="N607" s="0" t="n">
        <v>1000</v>
      </c>
      <c r="O607" s="0" t="n">
        <v>-1000</v>
      </c>
      <c r="P607" s="0" t="n">
        <v>1000</v>
      </c>
    </row>
    <row r="608" customFormat="false" ht="15" hidden="false" customHeight="false" outlineLevel="0" collapsed="false">
      <c r="A608" s="3" t="s">
        <v>3205</v>
      </c>
      <c r="B608" s="3" t="s">
        <v>3206</v>
      </c>
      <c r="C608" s="3" t="s">
        <v>3207</v>
      </c>
      <c r="D608" s="7" t="n">
        <v>2</v>
      </c>
      <c r="E608" s="3" t="s">
        <v>3208</v>
      </c>
      <c r="G608" s="3" t="s">
        <v>308</v>
      </c>
      <c r="H608" s="3" t="s">
        <v>3209</v>
      </c>
      <c r="I608" s="3" t="s">
        <v>3210</v>
      </c>
      <c r="J608" s="3" t="s">
        <v>3211</v>
      </c>
      <c r="K608" s="0" t="n">
        <v>-1000</v>
      </c>
      <c r="L608" s="0" t="n">
        <v>1000</v>
      </c>
      <c r="M608" s="0" t="n">
        <v>-1000</v>
      </c>
      <c r="N608" s="0" t="n">
        <v>1000</v>
      </c>
      <c r="O608" s="0" t="n">
        <v>-1000</v>
      </c>
      <c r="P608" s="0" t="n">
        <v>1000</v>
      </c>
    </row>
    <row r="609" customFormat="false" ht="15" hidden="false" customHeight="false" outlineLevel="0" collapsed="false">
      <c r="A609" s="3" t="s">
        <v>3212</v>
      </c>
      <c r="B609" s="3" t="s">
        <v>3213</v>
      </c>
      <c r="C609" s="3" t="s">
        <v>3214</v>
      </c>
      <c r="D609" s="7" t="n">
        <v>1</v>
      </c>
      <c r="E609" s="3" t="s">
        <v>3215</v>
      </c>
      <c r="G609" s="3" t="s">
        <v>251</v>
      </c>
      <c r="K609" s="0" t="n">
        <v>0</v>
      </c>
      <c r="L609" s="0" t="n">
        <v>1000</v>
      </c>
      <c r="M609" s="0" t="n">
        <v>0</v>
      </c>
      <c r="N609" s="0" t="n">
        <v>1000</v>
      </c>
      <c r="O609" s="0" t="n">
        <v>0</v>
      </c>
      <c r="P609" s="0" t="n">
        <v>1000</v>
      </c>
    </row>
    <row r="610" customFormat="false" ht="15" hidden="false" customHeight="false" outlineLevel="0" collapsed="false">
      <c r="A610" s="3" t="s">
        <v>3216</v>
      </c>
      <c r="B610" s="3" t="s">
        <v>3217</v>
      </c>
      <c r="C610" s="3" t="s">
        <v>3218</v>
      </c>
      <c r="D610" s="7" t="n">
        <v>1</v>
      </c>
      <c r="E610" s="3" t="s">
        <v>3215</v>
      </c>
      <c r="G610" s="3" t="s">
        <v>251</v>
      </c>
      <c r="K610" s="0" t="n">
        <v>0</v>
      </c>
      <c r="L610" s="0" t="n">
        <v>1000</v>
      </c>
      <c r="M610" s="0" t="n">
        <v>0</v>
      </c>
      <c r="N610" s="0" t="n">
        <v>1000</v>
      </c>
      <c r="O610" s="0" t="n">
        <v>0</v>
      </c>
      <c r="P610" s="0" t="n">
        <v>1000</v>
      </c>
    </row>
    <row r="611" customFormat="false" ht="15" hidden="false" customHeight="false" outlineLevel="0" collapsed="false">
      <c r="A611" s="3" t="s">
        <v>3219</v>
      </c>
      <c r="B611" s="3" t="s">
        <v>3220</v>
      </c>
      <c r="C611" s="3" t="s">
        <v>3221</v>
      </c>
      <c r="D611" s="7" t="n">
        <v>1</v>
      </c>
      <c r="E611" s="3" t="s">
        <v>3222</v>
      </c>
      <c r="G611" s="3" t="s">
        <v>251</v>
      </c>
      <c r="K611" s="0" t="n">
        <v>-1000</v>
      </c>
      <c r="L611" s="0" t="n">
        <v>1000</v>
      </c>
      <c r="M611" s="0" t="n">
        <v>-1000</v>
      </c>
      <c r="N611" s="0" t="n">
        <v>1000</v>
      </c>
      <c r="O611" s="0" t="n">
        <v>-1000</v>
      </c>
      <c r="P611" s="0" t="n">
        <v>1000</v>
      </c>
    </row>
    <row r="612" customFormat="false" ht="15" hidden="false" customHeight="false" outlineLevel="0" collapsed="false">
      <c r="A612" s="3" t="s">
        <v>3223</v>
      </c>
      <c r="B612" s="3" t="s">
        <v>3224</v>
      </c>
      <c r="C612" s="3" t="s">
        <v>3225</v>
      </c>
      <c r="D612" s="7" t="n">
        <v>1</v>
      </c>
      <c r="E612" s="3" t="s">
        <v>3226</v>
      </c>
      <c r="G612" s="3" t="s">
        <v>192</v>
      </c>
      <c r="K612" s="0" t="n">
        <v>-1000</v>
      </c>
      <c r="L612" s="0" t="n">
        <v>1000</v>
      </c>
      <c r="M612" s="0" t="n">
        <v>-1000</v>
      </c>
      <c r="N612" s="0" t="n">
        <v>1000</v>
      </c>
      <c r="O612" s="0" t="n">
        <v>-1000</v>
      </c>
      <c r="P612" s="0" t="n">
        <v>1000</v>
      </c>
    </row>
    <row r="613" customFormat="false" ht="15" hidden="false" customHeight="false" outlineLevel="0" collapsed="false">
      <c r="A613" s="3" t="s">
        <v>3227</v>
      </c>
      <c r="B613" s="3" t="s">
        <v>3224</v>
      </c>
      <c r="C613" s="3" t="s">
        <v>3228</v>
      </c>
      <c r="D613" s="7" t="n">
        <v>2</v>
      </c>
      <c r="E613" s="3" t="s">
        <v>1801</v>
      </c>
      <c r="G613" s="3" t="s">
        <v>192</v>
      </c>
      <c r="H613" s="3" t="s">
        <v>1802</v>
      </c>
      <c r="I613" s="3" t="s">
        <v>1803</v>
      </c>
      <c r="J613" s="3" t="s">
        <v>1804</v>
      </c>
      <c r="K613" s="0" t="n">
        <v>-1000</v>
      </c>
      <c r="L613" s="0" t="n">
        <v>1000</v>
      </c>
      <c r="M613" s="0" t="n">
        <v>-1000</v>
      </c>
      <c r="N613" s="0" t="n">
        <v>1000</v>
      </c>
      <c r="O613" s="0" t="n">
        <v>-1000</v>
      </c>
      <c r="P613" s="0" t="n">
        <v>1000</v>
      </c>
    </row>
    <row r="614" customFormat="false" ht="15" hidden="false" customHeight="false" outlineLevel="0" collapsed="false">
      <c r="A614" s="3" t="s">
        <v>3229</v>
      </c>
      <c r="B614" s="3" t="s">
        <v>3230</v>
      </c>
      <c r="C614" s="3" t="s">
        <v>3231</v>
      </c>
      <c r="D614" s="7" t="n">
        <v>1</v>
      </c>
      <c r="E614" s="3" t="s">
        <v>1737</v>
      </c>
      <c r="G614" s="3" t="s">
        <v>251</v>
      </c>
      <c r="H614" s="3" t="s">
        <v>3232</v>
      </c>
      <c r="I614" s="3" t="s">
        <v>3233</v>
      </c>
      <c r="J614" s="3" t="s">
        <v>3234</v>
      </c>
      <c r="K614" s="0" t="n">
        <v>0</v>
      </c>
      <c r="L614" s="0" t="n">
        <v>1000</v>
      </c>
      <c r="M614" s="0" t="n">
        <v>0</v>
      </c>
      <c r="N614" s="0" t="n">
        <v>1000</v>
      </c>
      <c r="O614" s="0" t="n">
        <v>0</v>
      </c>
      <c r="P614" s="0" t="n">
        <v>1000</v>
      </c>
    </row>
    <row r="615" customFormat="false" ht="15" hidden="false" customHeight="false" outlineLevel="0" collapsed="false">
      <c r="A615" s="3" t="s">
        <v>3235</v>
      </c>
      <c r="B615" s="3" t="s">
        <v>3236</v>
      </c>
      <c r="C615" s="3" t="s">
        <v>3237</v>
      </c>
      <c r="D615" s="7" t="n">
        <v>1</v>
      </c>
      <c r="E615" s="3" t="s">
        <v>3238</v>
      </c>
      <c r="G615" s="3" t="s">
        <v>251</v>
      </c>
      <c r="K615" s="0" t="n">
        <v>0</v>
      </c>
      <c r="L615" s="0" t="n">
        <v>1000</v>
      </c>
      <c r="M615" s="0" t="n">
        <v>0</v>
      </c>
      <c r="N615" s="0" t="n">
        <v>1000</v>
      </c>
      <c r="O615" s="0" t="n">
        <v>0</v>
      </c>
      <c r="P615" s="0" t="n">
        <v>1000</v>
      </c>
    </row>
    <row r="616" customFormat="false" ht="15" hidden="false" customHeight="false" outlineLevel="0" collapsed="false">
      <c r="A616" s="3" t="s">
        <v>3239</v>
      </c>
      <c r="B616" s="3" t="s">
        <v>3240</v>
      </c>
      <c r="C616" s="3" t="s">
        <v>3241</v>
      </c>
      <c r="D616" s="7" t="n">
        <v>1</v>
      </c>
      <c r="G616" s="3" t="s">
        <v>139</v>
      </c>
      <c r="K616" s="0" t="n">
        <v>-1000</v>
      </c>
      <c r="L616" s="0" t="n">
        <v>1000</v>
      </c>
      <c r="M616" s="0" t="n">
        <v>-1000</v>
      </c>
      <c r="N616" s="0" t="n">
        <v>1000</v>
      </c>
      <c r="O616" s="0" t="n">
        <v>-1000</v>
      </c>
      <c r="P616" s="0" t="n">
        <v>1000</v>
      </c>
    </row>
    <row r="617" customFormat="false" ht="15" hidden="false" customHeight="false" outlineLevel="0" collapsed="false">
      <c r="A617" s="3" t="s">
        <v>3242</v>
      </c>
      <c r="B617" s="3" t="s">
        <v>733</v>
      </c>
      <c r="C617" s="3" t="s">
        <v>3243</v>
      </c>
      <c r="D617" s="7" t="n">
        <v>2</v>
      </c>
      <c r="F617" s="7" t="n">
        <v>19077236</v>
      </c>
      <c r="G617" s="3" t="s">
        <v>143</v>
      </c>
      <c r="H617" s="3" t="s">
        <v>735</v>
      </c>
      <c r="I617" s="3" t="s">
        <v>736</v>
      </c>
      <c r="J617" s="3" t="s">
        <v>737</v>
      </c>
      <c r="K617" s="0" t="n">
        <v>0</v>
      </c>
      <c r="L617" s="0" t="n">
        <v>1000</v>
      </c>
      <c r="M617" s="0" t="n">
        <v>0</v>
      </c>
      <c r="N617" s="0" t="n">
        <v>1000</v>
      </c>
      <c r="O617" s="0" t="n">
        <v>0</v>
      </c>
      <c r="P617" s="0" t="n">
        <v>1000</v>
      </c>
    </row>
    <row r="618" customFormat="false" ht="15" hidden="false" customHeight="false" outlineLevel="0" collapsed="false">
      <c r="D618" s="7" t="n">
        <f aca="false">AVERAGE(D247:D617,D3:D218)</f>
        <v>2.02555366269165</v>
      </c>
    </row>
  </sheetData>
  <mergeCells count="3">
    <mergeCell ref="K1:L1"/>
    <mergeCell ref="M1:N1"/>
    <mergeCell ref="O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4"/>
  <sheetViews>
    <sheetView showFormulas="false" showGridLines="true" showRowColHeaders="true" showZeros="true" rightToLeft="false" tabSelected="false" showOutlineSymbols="true" defaultGridColor="true" view="normal" topLeftCell="A367" colorId="64" zoomScale="100" zoomScaleNormal="100" zoomScalePageLayoutView="100" workbookViewId="0">
      <selection pane="topLeft" activeCell="A377" activeCellId="0" sqref="A377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6" width="21.44"/>
    <col collapsed="false" customWidth="true" hidden="false" outlineLevel="0" max="2" min="2" style="16" width="57.7"/>
    <col collapsed="false" customWidth="true" hidden="false" outlineLevel="0" max="3" min="3" style="16" width="15.07"/>
    <col collapsed="false" customWidth="true" hidden="false" outlineLevel="0" max="4" min="4" style="16" width="8.31"/>
    <col collapsed="false" customWidth="true" hidden="false" outlineLevel="0" max="5" min="5" style="16" width="10.78"/>
    <col collapsed="false" customWidth="true" hidden="false" outlineLevel="0" max="6" min="6" style="16" width="14.28"/>
    <col collapsed="false" customWidth="true" hidden="false" outlineLevel="0" max="7" min="7" style="16" width="8.31"/>
    <col collapsed="false" customWidth="true" hidden="false" outlineLevel="0" max="8" min="8" style="16" width="12.08"/>
    <col collapsed="false" customWidth="true" hidden="false" outlineLevel="0" max="10" min="9" style="1" width="8.31"/>
  </cols>
  <sheetData>
    <row r="1" customFormat="false" ht="15" hidden="false" customHeight="false" outlineLevel="0" collapsed="false">
      <c r="A1" s="17" t="s">
        <v>3244</v>
      </c>
      <c r="B1" s="17" t="s">
        <v>3245</v>
      </c>
      <c r="C1" s="17" t="s">
        <v>3246</v>
      </c>
      <c r="D1" s="17" t="s">
        <v>3247</v>
      </c>
      <c r="E1" s="17" t="s">
        <v>3248</v>
      </c>
      <c r="F1" s="17" t="s">
        <v>3249</v>
      </c>
      <c r="G1" s="17" t="s">
        <v>3250</v>
      </c>
      <c r="H1" s="17" t="s">
        <v>3251</v>
      </c>
      <c r="I1" s="2"/>
      <c r="J1" s="2"/>
    </row>
    <row r="2" customFormat="false" ht="15" hidden="false" customHeight="false" outlineLevel="0" collapsed="false">
      <c r="A2" s="18" t="s">
        <v>3252</v>
      </c>
      <c r="B2" s="18" t="s">
        <v>3253</v>
      </c>
      <c r="C2" s="18" t="s">
        <v>3254</v>
      </c>
      <c r="D2" s="16" t="n">
        <v>-2</v>
      </c>
      <c r="E2" s="18" t="s">
        <v>3255</v>
      </c>
      <c r="F2" s="18" t="s">
        <v>3256</v>
      </c>
      <c r="G2" s="18" t="s">
        <v>3257</v>
      </c>
      <c r="H2" s="16" t="n">
        <v>10</v>
      </c>
    </row>
    <row r="3" customFormat="false" ht="15" hidden="false" customHeight="false" outlineLevel="0" collapsed="false">
      <c r="A3" s="18" t="s">
        <v>3258</v>
      </c>
      <c r="B3" s="18" t="s">
        <v>3259</v>
      </c>
      <c r="C3" s="18" t="s">
        <v>3260</v>
      </c>
      <c r="D3" s="16" t="n">
        <v>-1</v>
      </c>
      <c r="E3" s="18" t="s">
        <v>3255</v>
      </c>
      <c r="F3" s="18" t="s">
        <v>3261</v>
      </c>
      <c r="H3" s="16" t="n">
        <v>44229177</v>
      </c>
    </row>
    <row r="4" customFormat="false" ht="15" hidden="false" customHeight="false" outlineLevel="0" collapsed="false">
      <c r="A4" s="18" t="s">
        <v>3262</v>
      </c>
      <c r="B4" s="18" t="s">
        <v>3263</v>
      </c>
      <c r="C4" s="18" t="s">
        <v>3264</v>
      </c>
      <c r="D4" s="16" t="n">
        <v>-4</v>
      </c>
      <c r="E4" s="18" t="s">
        <v>3255</v>
      </c>
      <c r="F4" s="18" t="s">
        <v>3265</v>
      </c>
      <c r="G4" s="18" t="s">
        <v>3266</v>
      </c>
      <c r="H4" s="16" t="n">
        <v>439191</v>
      </c>
    </row>
    <row r="5" customFormat="false" ht="15" hidden="false" customHeight="false" outlineLevel="0" collapsed="false">
      <c r="A5" s="18" t="s">
        <v>3267</v>
      </c>
      <c r="B5" s="18" t="s">
        <v>3268</v>
      </c>
      <c r="C5" s="18" t="s">
        <v>3269</v>
      </c>
      <c r="D5" s="16" t="n">
        <v>-1</v>
      </c>
      <c r="E5" s="18" t="s">
        <v>3255</v>
      </c>
      <c r="F5" s="18" t="s">
        <v>3270</v>
      </c>
      <c r="G5" s="18" t="s">
        <v>3271</v>
      </c>
      <c r="H5" s="16" t="n">
        <v>440162</v>
      </c>
    </row>
    <row r="6" customFormat="false" ht="15" hidden="false" customHeight="false" outlineLevel="0" collapsed="false">
      <c r="A6" s="18" t="s">
        <v>3272</v>
      </c>
      <c r="B6" s="18" t="s">
        <v>3273</v>
      </c>
      <c r="C6" s="18" t="s">
        <v>3274</v>
      </c>
      <c r="D6" s="16" t="n">
        <v>-2</v>
      </c>
      <c r="E6" s="18" t="s">
        <v>3255</v>
      </c>
      <c r="F6" s="18" t="s">
        <v>3275</v>
      </c>
      <c r="G6" s="18" t="s">
        <v>3276</v>
      </c>
      <c r="H6" s="16" t="n">
        <v>439982</v>
      </c>
    </row>
    <row r="7" customFormat="false" ht="15" hidden="false" customHeight="false" outlineLevel="0" collapsed="false">
      <c r="A7" s="18" t="s">
        <v>3277</v>
      </c>
      <c r="B7" s="18" t="s">
        <v>3278</v>
      </c>
      <c r="C7" s="18" t="s">
        <v>3279</v>
      </c>
      <c r="D7" s="16" t="n">
        <v>-1</v>
      </c>
      <c r="E7" s="18" t="s">
        <v>3255</v>
      </c>
      <c r="F7" s="18" t="s">
        <v>3280</v>
      </c>
      <c r="G7" s="18" t="s">
        <v>3281</v>
      </c>
      <c r="H7" s="16" t="n">
        <v>440279</v>
      </c>
    </row>
    <row r="8" customFormat="false" ht="15" hidden="false" customHeight="false" outlineLevel="0" collapsed="false">
      <c r="A8" s="18" t="s">
        <v>3282</v>
      </c>
      <c r="B8" s="18" t="s">
        <v>3283</v>
      </c>
      <c r="C8" s="18" t="s">
        <v>3284</v>
      </c>
      <c r="D8" s="16" t="n">
        <v>-1</v>
      </c>
      <c r="E8" s="18" t="s">
        <v>3255</v>
      </c>
      <c r="F8" s="18" t="s">
        <v>3285</v>
      </c>
      <c r="G8" s="18" t="s">
        <v>3286</v>
      </c>
      <c r="H8" s="16" t="n">
        <v>448154</v>
      </c>
    </row>
    <row r="9" customFormat="false" ht="15" hidden="false" customHeight="false" outlineLevel="0" collapsed="false">
      <c r="A9" s="18" t="s">
        <v>3287</v>
      </c>
      <c r="B9" s="18" t="s">
        <v>3288</v>
      </c>
      <c r="C9" s="18" t="s">
        <v>3289</v>
      </c>
      <c r="D9" s="16" t="n">
        <v>-4</v>
      </c>
      <c r="E9" s="18" t="s">
        <v>3255</v>
      </c>
      <c r="F9" s="18" t="s">
        <v>3290</v>
      </c>
      <c r="G9" s="18" t="s">
        <v>3291</v>
      </c>
      <c r="H9" s="16" t="n">
        <v>440498</v>
      </c>
    </row>
    <row r="10" customFormat="false" ht="15" hidden="false" customHeight="false" outlineLevel="0" collapsed="false">
      <c r="A10" s="18" t="s">
        <v>3292</v>
      </c>
      <c r="B10" s="18" t="s">
        <v>3293</v>
      </c>
      <c r="C10" s="18" t="s">
        <v>3294</v>
      </c>
      <c r="D10" s="16" t="n">
        <v>0</v>
      </c>
      <c r="E10" s="18" t="s">
        <v>3255</v>
      </c>
      <c r="F10" s="18" t="s">
        <v>3295</v>
      </c>
      <c r="G10" s="18" t="s">
        <v>3296</v>
      </c>
      <c r="H10" s="16" t="n">
        <v>439283</v>
      </c>
    </row>
    <row r="11" customFormat="false" ht="15" hidden="false" customHeight="false" outlineLevel="0" collapsed="false">
      <c r="A11" s="18" t="s">
        <v>3297</v>
      </c>
      <c r="B11" s="18" t="s">
        <v>3298</v>
      </c>
      <c r="C11" s="18" t="s">
        <v>3294</v>
      </c>
      <c r="D11" s="16" t="n">
        <v>0</v>
      </c>
      <c r="E11" s="18" t="s">
        <v>3255</v>
      </c>
      <c r="F11" s="18" t="s">
        <v>3299</v>
      </c>
      <c r="G11" s="18" t="s">
        <v>3300</v>
      </c>
      <c r="H11" s="16" t="n">
        <v>99290</v>
      </c>
    </row>
    <row r="12" customFormat="false" ht="15" hidden="false" customHeight="false" outlineLevel="0" collapsed="false">
      <c r="A12" s="18" t="s">
        <v>3301</v>
      </c>
      <c r="B12" s="18" t="s">
        <v>3302</v>
      </c>
      <c r="C12" s="18" t="s">
        <v>3303</v>
      </c>
      <c r="D12" s="16" t="n">
        <v>-1</v>
      </c>
      <c r="E12" s="18" t="s">
        <v>3255</v>
      </c>
      <c r="F12" s="18" t="s">
        <v>3304</v>
      </c>
      <c r="G12" s="18" t="s">
        <v>3305</v>
      </c>
      <c r="H12" s="16" t="n">
        <v>440875</v>
      </c>
    </row>
    <row r="13" customFormat="false" ht="15" hidden="false" customHeight="false" outlineLevel="0" collapsed="false">
      <c r="A13" s="18" t="s">
        <v>3306</v>
      </c>
      <c r="B13" s="18" t="s">
        <v>3307</v>
      </c>
      <c r="C13" s="18" t="s">
        <v>3308</v>
      </c>
      <c r="D13" s="16" t="n">
        <v>-3</v>
      </c>
      <c r="E13" s="18" t="s">
        <v>3255</v>
      </c>
      <c r="F13" s="18" t="s">
        <v>3309</v>
      </c>
      <c r="G13" s="18" t="s">
        <v>3310</v>
      </c>
      <c r="H13" s="16" t="n">
        <v>666</v>
      </c>
    </row>
    <row r="14" customFormat="false" ht="15" hidden="false" customHeight="false" outlineLevel="0" collapsed="false">
      <c r="A14" s="18" t="s">
        <v>3311</v>
      </c>
      <c r="B14" s="18" t="s">
        <v>3312</v>
      </c>
      <c r="C14" s="18" t="s">
        <v>3313</v>
      </c>
      <c r="D14" s="16" t="n">
        <v>-3</v>
      </c>
      <c r="E14" s="18" t="s">
        <v>3255</v>
      </c>
      <c r="F14" s="18" t="s">
        <v>3314</v>
      </c>
      <c r="G14" s="18" t="s">
        <v>3315</v>
      </c>
      <c r="H14" s="16" t="n">
        <v>446894</v>
      </c>
    </row>
    <row r="15" customFormat="false" ht="15" hidden="false" customHeight="false" outlineLevel="0" collapsed="false">
      <c r="A15" s="18" t="s">
        <v>3316</v>
      </c>
      <c r="B15" s="18" t="s">
        <v>3317</v>
      </c>
      <c r="C15" s="18" t="s">
        <v>3318</v>
      </c>
      <c r="D15" s="16" t="n">
        <v>-3</v>
      </c>
      <c r="E15" s="18" t="s">
        <v>3255</v>
      </c>
      <c r="F15" s="18" t="s">
        <v>3319</v>
      </c>
      <c r="G15" s="18" t="s">
        <v>3320</v>
      </c>
      <c r="H15" s="16" t="n">
        <v>160647</v>
      </c>
    </row>
    <row r="16" customFormat="false" ht="15" hidden="false" customHeight="false" outlineLevel="0" collapsed="false">
      <c r="A16" s="18" t="s">
        <v>3321</v>
      </c>
      <c r="B16" s="18" t="s">
        <v>3322</v>
      </c>
      <c r="C16" s="18" t="s">
        <v>3323</v>
      </c>
      <c r="D16" s="16" t="n">
        <v>-3</v>
      </c>
      <c r="E16" s="18" t="s">
        <v>3255</v>
      </c>
      <c r="F16" s="18" t="s">
        <v>3324</v>
      </c>
      <c r="G16" s="18" t="s">
        <v>3325</v>
      </c>
      <c r="H16" s="16" t="n">
        <v>46</v>
      </c>
    </row>
    <row r="17" customFormat="false" ht="15" hidden="false" customHeight="false" outlineLevel="0" collapsed="false">
      <c r="A17" s="18" t="s">
        <v>3326</v>
      </c>
      <c r="B17" s="18" t="s">
        <v>3327</v>
      </c>
      <c r="C17" s="18" t="s">
        <v>3303</v>
      </c>
      <c r="D17" s="16" t="n">
        <v>-1</v>
      </c>
      <c r="E17" s="18" t="s">
        <v>3255</v>
      </c>
      <c r="F17" s="18" t="s">
        <v>3328</v>
      </c>
      <c r="G17" s="18" t="s">
        <v>3329</v>
      </c>
      <c r="H17" s="16" t="n">
        <v>38</v>
      </c>
    </row>
    <row r="18" customFormat="false" ht="15" hidden="false" customHeight="false" outlineLevel="0" collapsed="false">
      <c r="A18" s="18" t="s">
        <v>3330</v>
      </c>
      <c r="B18" s="18" t="s">
        <v>3331</v>
      </c>
      <c r="C18" s="18" t="s">
        <v>3332</v>
      </c>
      <c r="D18" s="16" t="n">
        <v>-1</v>
      </c>
      <c r="E18" s="18" t="s">
        <v>3255</v>
      </c>
      <c r="F18" s="18" t="s">
        <v>3333</v>
      </c>
      <c r="G18" s="18" t="s">
        <v>3334</v>
      </c>
      <c r="H18" s="16" t="n">
        <v>439480</v>
      </c>
    </row>
    <row r="19" customFormat="false" ht="15" hidden="false" customHeight="false" outlineLevel="0" collapsed="false">
      <c r="A19" s="18" t="s">
        <v>3335</v>
      </c>
      <c r="B19" s="18" t="s">
        <v>3336</v>
      </c>
      <c r="C19" s="18" t="s">
        <v>3337</v>
      </c>
      <c r="D19" s="16" t="n">
        <v>-2</v>
      </c>
      <c r="E19" s="18" t="s">
        <v>3255</v>
      </c>
      <c r="F19" s="18" t="s">
        <v>3338</v>
      </c>
      <c r="H19" s="16" t="n">
        <v>44229144</v>
      </c>
    </row>
    <row r="20" customFormat="false" ht="15" hidden="false" customHeight="false" outlineLevel="0" collapsed="false">
      <c r="A20" s="18" t="s">
        <v>3339</v>
      </c>
      <c r="B20" s="18" t="s">
        <v>3340</v>
      </c>
      <c r="C20" s="18" t="s">
        <v>3341</v>
      </c>
      <c r="D20" s="16" t="n">
        <v>-1</v>
      </c>
      <c r="E20" s="18" t="s">
        <v>3255</v>
      </c>
      <c r="F20" s="18" t="s">
        <v>3342</v>
      </c>
      <c r="G20" s="18" t="s">
        <v>3343</v>
      </c>
      <c r="H20" s="16" t="n">
        <v>1122</v>
      </c>
    </row>
    <row r="21" customFormat="false" ht="15" hidden="false" customHeight="false" outlineLevel="0" collapsed="false">
      <c r="A21" s="18" t="s">
        <v>3344</v>
      </c>
      <c r="B21" s="18" t="s">
        <v>3345</v>
      </c>
      <c r="C21" s="18" t="s">
        <v>3346</v>
      </c>
      <c r="D21" s="16" t="n">
        <v>-1</v>
      </c>
      <c r="E21" s="18" t="s">
        <v>3255</v>
      </c>
      <c r="F21" s="18" t="s">
        <v>3347</v>
      </c>
    </row>
    <row r="22" customFormat="false" ht="15" hidden="false" customHeight="false" outlineLevel="0" collapsed="false">
      <c r="A22" s="18" t="s">
        <v>3348</v>
      </c>
      <c r="B22" s="18" t="s">
        <v>3349</v>
      </c>
      <c r="C22" s="18" t="s">
        <v>3350</v>
      </c>
      <c r="D22" s="16" t="n">
        <v>-3</v>
      </c>
      <c r="E22" s="18" t="s">
        <v>3255</v>
      </c>
      <c r="F22" s="18" t="s">
        <v>3351</v>
      </c>
      <c r="G22" s="18" t="s">
        <v>3352</v>
      </c>
      <c r="H22" s="16" t="n">
        <v>217</v>
      </c>
    </row>
    <row r="23" customFormat="false" ht="15" hidden="false" customHeight="false" outlineLevel="0" collapsed="false">
      <c r="A23" s="18" t="s">
        <v>3353</v>
      </c>
      <c r="B23" s="18" t="s">
        <v>3354</v>
      </c>
      <c r="C23" s="18" t="s">
        <v>3355</v>
      </c>
      <c r="D23" s="16" t="n">
        <v>-2</v>
      </c>
      <c r="E23" s="18" t="s">
        <v>3255</v>
      </c>
      <c r="F23" s="18" t="s">
        <v>3356</v>
      </c>
      <c r="G23" s="18" t="s">
        <v>3357</v>
      </c>
      <c r="H23" s="16" t="n">
        <v>443198</v>
      </c>
    </row>
    <row r="24" customFormat="false" ht="15" hidden="false" customHeight="false" outlineLevel="0" collapsed="false">
      <c r="A24" s="18" t="s">
        <v>3358</v>
      </c>
      <c r="B24" s="18" t="s">
        <v>3359</v>
      </c>
      <c r="C24" s="18" t="s">
        <v>3360</v>
      </c>
      <c r="D24" s="16" t="n">
        <v>-2</v>
      </c>
      <c r="E24" s="18" t="s">
        <v>3255</v>
      </c>
      <c r="F24" s="18" t="s">
        <v>3361</v>
      </c>
      <c r="G24" s="18" t="s">
        <v>3362</v>
      </c>
      <c r="H24" s="16" t="n">
        <v>126747</v>
      </c>
    </row>
    <row r="25" customFormat="false" ht="15" hidden="false" customHeight="false" outlineLevel="0" collapsed="false">
      <c r="A25" s="18" t="s">
        <v>3363</v>
      </c>
      <c r="B25" s="18" t="s">
        <v>3364</v>
      </c>
      <c r="C25" s="18" t="s">
        <v>3365</v>
      </c>
      <c r="D25" s="16" t="n">
        <v>-1</v>
      </c>
      <c r="E25" s="18" t="s">
        <v>3255</v>
      </c>
      <c r="F25" s="18" t="s">
        <v>3366</v>
      </c>
      <c r="G25" s="18" t="s">
        <v>3367</v>
      </c>
      <c r="H25" s="16" t="n">
        <v>58</v>
      </c>
    </row>
    <row r="26" customFormat="false" ht="15" hidden="false" customHeight="false" outlineLevel="0" collapsed="false">
      <c r="A26" s="18" t="s">
        <v>3368</v>
      </c>
      <c r="B26" s="18" t="s">
        <v>3369</v>
      </c>
      <c r="C26" s="18" t="s">
        <v>3370</v>
      </c>
      <c r="D26" s="16" t="n">
        <v>0</v>
      </c>
      <c r="E26" s="18" t="s">
        <v>3255</v>
      </c>
      <c r="F26" s="18" t="s">
        <v>3371</v>
      </c>
      <c r="G26" s="18" t="s">
        <v>3372</v>
      </c>
      <c r="H26" s="16" t="n">
        <v>5280833</v>
      </c>
    </row>
    <row r="27" customFormat="false" ht="15" hidden="false" customHeight="false" outlineLevel="0" collapsed="false">
      <c r="A27" s="18" t="s">
        <v>3373</v>
      </c>
      <c r="B27" s="18" t="s">
        <v>3374</v>
      </c>
      <c r="C27" s="18" t="s">
        <v>3375</v>
      </c>
      <c r="D27" s="16" t="n">
        <v>0</v>
      </c>
      <c r="E27" s="18" t="s">
        <v>3255</v>
      </c>
      <c r="F27" s="18" t="s">
        <v>3376</v>
      </c>
      <c r="G27" s="18" t="s">
        <v>3377</v>
      </c>
      <c r="H27" s="16" t="n">
        <v>5280835</v>
      </c>
    </row>
    <row r="28" customFormat="false" ht="15" hidden="false" customHeight="false" outlineLevel="0" collapsed="false">
      <c r="A28" s="18" t="s">
        <v>3378</v>
      </c>
      <c r="B28" s="18" t="s">
        <v>3379</v>
      </c>
      <c r="C28" s="18" t="s">
        <v>3380</v>
      </c>
      <c r="D28" s="16" t="n">
        <v>0</v>
      </c>
      <c r="E28" s="18" t="s">
        <v>3255</v>
      </c>
      <c r="F28" s="18" t="s">
        <v>3381</v>
      </c>
      <c r="G28" s="18" t="s">
        <v>3382</v>
      </c>
      <c r="H28" s="16" t="n">
        <v>5280836</v>
      </c>
    </row>
    <row r="29" customFormat="false" ht="15" hidden="false" customHeight="false" outlineLevel="0" collapsed="false">
      <c r="A29" s="18" t="s">
        <v>3383</v>
      </c>
      <c r="B29" s="18" t="s">
        <v>3384</v>
      </c>
      <c r="C29" s="18" t="s">
        <v>3385</v>
      </c>
      <c r="D29" s="16" t="n">
        <v>0</v>
      </c>
      <c r="E29" s="18" t="s">
        <v>3255</v>
      </c>
      <c r="F29" s="18" t="s">
        <v>3386</v>
      </c>
      <c r="G29" s="18" t="s">
        <v>3387</v>
      </c>
      <c r="H29" s="16" t="n">
        <v>5280834</v>
      </c>
    </row>
    <row r="30" customFormat="false" ht="15" hidden="false" customHeight="false" outlineLevel="0" collapsed="false">
      <c r="A30" s="18" t="s">
        <v>3388</v>
      </c>
      <c r="B30" s="18" t="s">
        <v>3389</v>
      </c>
      <c r="C30" s="18" t="s">
        <v>3390</v>
      </c>
      <c r="D30" s="16" t="n">
        <v>0</v>
      </c>
      <c r="E30" s="18" t="s">
        <v>3255</v>
      </c>
      <c r="F30" s="18" t="s">
        <v>3391</v>
      </c>
      <c r="G30" s="18" t="s">
        <v>3392</v>
      </c>
      <c r="H30" s="16" t="n">
        <v>5280832</v>
      </c>
    </row>
    <row r="31" customFormat="false" ht="15" hidden="false" customHeight="false" outlineLevel="0" collapsed="false">
      <c r="A31" s="18" t="s">
        <v>3393</v>
      </c>
      <c r="B31" s="18" t="s">
        <v>3394</v>
      </c>
      <c r="C31" s="18" t="s">
        <v>3395</v>
      </c>
      <c r="D31" s="16" t="n">
        <v>-4</v>
      </c>
      <c r="E31" s="18" t="s">
        <v>3255</v>
      </c>
      <c r="F31" s="18" t="s">
        <v>3396</v>
      </c>
      <c r="G31" s="18" t="s">
        <v>3397</v>
      </c>
      <c r="H31" s="16" t="n">
        <v>443200</v>
      </c>
    </row>
    <row r="32" customFormat="false" ht="15" hidden="false" customHeight="false" outlineLevel="0" collapsed="false">
      <c r="A32" s="18" t="s">
        <v>3398</v>
      </c>
      <c r="B32" s="18" t="s">
        <v>3399</v>
      </c>
      <c r="C32" s="18" t="s">
        <v>3400</v>
      </c>
      <c r="D32" s="16" t="n">
        <v>-3</v>
      </c>
      <c r="E32" s="18" t="s">
        <v>3255</v>
      </c>
      <c r="F32" s="18" t="s">
        <v>3401</v>
      </c>
      <c r="G32" s="18" t="s">
        <v>3402</v>
      </c>
      <c r="H32" s="16" t="n">
        <v>439278</v>
      </c>
    </row>
    <row r="33" customFormat="false" ht="15" hidden="false" customHeight="false" outlineLevel="0" collapsed="false">
      <c r="A33" s="18" t="s">
        <v>3403</v>
      </c>
      <c r="B33" s="18" t="s">
        <v>3404</v>
      </c>
      <c r="C33" s="18" t="s">
        <v>3405</v>
      </c>
      <c r="D33" s="16" t="n">
        <v>-3</v>
      </c>
      <c r="E33" s="18" t="s">
        <v>3255</v>
      </c>
      <c r="F33" s="18" t="s">
        <v>3406</v>
      </c>
      <c r="G33" s="18" t="s">
        <v>3407</v>
      </c>
      <c r="H33" s="16" t="n">
        <v>529</v>
      </c>
    </row>
    <row r="34" customFormat="false" ht="15" hidden="false" customHeight="false" outlineLevel="0" collapsed="false">
      <c r="A34" s="18" t="s">
        <v>3408</v>
      </c>
      <c r="B34" s="18" t="s">
        <v>3409</v>
      </c>
      <c r="C34" s="18" t="s">
        <v>3410</v>
      </c>
      <c r="D34" s="16" t="n">
        <v>-1</v>
      </c>
      <c r="E34" s="18" t="s">
        <v>3255</v>
      </c>
    </row>
    <row r="35" customFormat="false" ht="15" hidden="false" customHeight="false" outlineLevel="0" collapsed="false">
      <c r="A35" s="18" t="s">
        <v>3411</v>
      </c>
      <c r="B35" s="18" t="s">
        <v>3412</v>
      </c>
      <c r="C35" s="18" t="s">
        <v>3413</v>
      </c>
      <c r="D35" s="16" t="n">
        <v>-1</v>
      </c>
      <c r="E35" s="18" t="s">
        <v>3255</v>
      </c>
    </row>
    <row r="36" customFormat="false" ht="15" hidden="false" customHeight="false" outlineLevel="0" collapsed="false">
      <c r="A36" s="18" t="s">
        <v>3414</v>
      </c>
      <c r="B36" s="18" t="s">
        <v>3415</v>
      </c>
      <c r="C36" s="18" t="s">
        <v>3416</v>
      </c>
      <c r="D36" s="16" t="n">
        <v>-1</v>
      </c>
      <c r="E36" s="18" t="s">
        <v>3255</v>
      </c>
    </row>
    <row r="37" customFormat="false" ht="15" hidden="false" customHeight="false" outlineLevel="0" collapsed="false">
      <c r="A37" s="18" t="s">
        <v>3417</v>
      </c>
      <c r="B37" s="18" t="s">
        <v>3418</v>
      </c>
      <c r="C37" s="18" t="s">
        <v>3419</v>
      </c>
      <c r="D37" s="16" t="n">
        <v>-1</v>
      </c>
      <c r="E37" s="18" t="s">
        <v>3255</v>
      </c>
      <c r="F37" s="18" t="s">
        <v>3420</v>
      </c>
      <c r="G37" s="18" t="s">
        <v>3421</v>
      </c>
      <c r="H37" s="16" t="n">
        <v>979</v>
      </c>
    </row>
    <row r="38" customFormat="false" ht="15" hidden="false" customHeight="false" outlineLevel="0" collapsed="false">
      <c r="A38" s="18" t="s">
        <v>3422</v>
      </c>
      <c r="B38" s="18" t="s">
        <v>3423</v>
      </c>
      <c r="C38" s="18" t="s">
        <v>3424</v>
      </c>
      <c r="D38" s="16" t="n">
        <v>-2</v>
      </c>
      <c r="E38" s="18" t="s">
        <v>3255</v>
      </c>
      <c r="F38" s="18" t="s">
        <v>3425</v>
      </c>
      <c r="G38" s="18" t="s">
        <v>3426</v>
      </c>
      <c r="H38" s="16" t="n">
        <v>5462261</v>
      </c>
    </row>
    <row r="39" customFormat="false" ht="15" hidden="false" customHeight="false" outlineLevel="0" collapsed="false">
      <c r="A39" s="18" t="s">
        <v>3427</v>
      </c>
      <c r="B39" s="18" t="s">
        <v>3428</v>
      </c>
      <c r="C39" s="18" t="s">
        <v>3424</v>
      </c>
      <c r="D39" s="16" t="n">
        <v>-2</v>
      </c>
      <c r="E39" s="18" t="s">
        <v>3255</v>
      </c>
      <c r="F39" s="18" t="s">
        <v>3429</v>
      </c>
      <c r="G39" s="18" t="s">
        <v>3430</v>
      </c>
      <c r="H39" s="16" t="n">
        <v>5280523</v>
      </c>
    </row>
    <row r="40" customFormat="false" ht="15" hidden="false" customHeight="false" outlineLevel="0" collapsed="false">
      <c r="A40" s="18" t="s">
        <v>3431</v>
      </c>
      <c r="B40" s="18" t="s">
        <v>3432</v>
      </c>
      <c r="C40" s="18" t="s">
        <v>3433</v>
      </c>
      <c r="D40" s="16" t="n">
        <v>-2</v>
      </c>
      <c r="E40" s="18" t="s">
        <v>3255</v>
      </c>
      <c r="F40" s="18" t="s">
        <v>3434</v>
      </c>
      <c r="G40" s="18" t="s">
        <v>3435</v>
      </c>
      <c r="H40" s="16" t="n">
        <v>5462259</v>
      </c>
    </row>
    <row r="41" customFormat="false" ht="15" hidden="false" customHeight="false" outlineLevel="0" collapsed="false">
      <c r="A41" s="18" t="s">
        <v>3436</v>
      </c>
      <c r="B41" s="18" t="s">
        <v>3437</v>
      </c>
      <c r="C41" s="18" t="s">
        <v>3438</v>
      </c>
      <c r="D41" s="16" t="n">
        <v>-1</v>
      </c>
      <c r="E41" s="18" t="s">
        <v>3255</v>
      </c>
    </row>
    <row r="42" customFormat="false" ht="15" hidden="false" customHeight="false" outlineLevel="0" collapsed="false">
      <c r="A42" s="18" t="s">
        <v>3439</v>
      </c>
      <c r="B42" s="18" t="s">
        <v>3440</v>
      </c>
      <c r="C42" s="18" t="s">
        <v>3441</v>
      </c>
      <c r="D42" s="16" t="n">
        <v>-1</v>
      </c>
      <c r="E42" s="18" t="s">
        <v>3255</v>
      </c>
      <c r="F42" s="18" t="s">
        <v>3442</v>
      </c>
      <c r="G42" s="18" t="s">
        <v>3443</v>
      </c>
      <c r="H42" s="16" t="n">
        <v>439351</v>
      </c>
    </row>
    <row r="43" customFormat="false" ht="15" hidden="false" customHeight="false" outlineLevel="0" collapsed="false">
      <c r="A43" s="18" t="s">
        <v>3444</v>
      </c>
      <c r="B43" s="18" t="s">
        <v>3445</v>
      </c>
      <c r="C43" s="18" t="s">
        <v>3446</v>
      </c>
      <c r="D43" s="16" t="n">
        <v>-1</v>
      </c>
      <c r="E43" s="18" t="s">
        <v>3255</v>
      </c>
      <c r="F43" s="18" t="s">
        <v>3447</v>
      </c>
      <c r="G43" s="18" t="s">
        <v>3448</v>
      </c>
      <c r="H43" s="16" t="n">
        <v>439774</v>
      </c>
    </row>
    <row r="44" customFormat="false" ht="15" hidden="false" customHeight="false" outlineLevel="0" collapsed="false">
      <c r="A44" s="18" t="s">
        <v>3449</v>
      </c>
      <c r="B44" s="18" t="s">
        <v>3450</v>
      </c>
      <c r="C44" s="18" t="s">
        <v>3451</v>
      </c>
      <c r="D44" s="16" t="n">
        <v>0</v>
      </c>
      <c r="E44" s="18" t="s">
        <v>3255</v>
      </c>
      <c r="F44" s="18" t="s">
        <v>3452</v>
      </c>
      <c r="G44" s="18" t="s">
        <v>3453</v>
      </c>
      <c r="H44" s="16" t="n">
        <v>11953820</v>
      </c>
    </row>
    <row r="45" customFormat="false" ht="15" hidden="false" customHeight="false" outlineLevel="0" collapsed="false">
      <c r="A45" s="18" t="s">
        <v>3454</v>
      </c>
      <c r="B45" s="18" t="s">
        <v>3455</v>
      </c>
      <c r="C45" s="18" t="s">
        <v>3456</v>
      </c>
      <c r="D45" s="16" t="n">
        <v>-1</v>
      </c>
      <c r="E45" s="18" t="s">
        <v>3255</v>
      </c>
      <c r="G45" s="18" t="s">
        <v>3457</v>
      </c>
    </row>
    <row r="46" customFormat="false" ht="15" hidden="false" customHeight="false" outlineLevel="0" collapsed="false">
      <c r="A46" s="18" t="s">
        <v>3458</v>
      </c>
      <c r="B46" s="18" t="s">
        <v>3459</v>
      </c>
      <c r="C46" s="18" t="s">
        <v>3460</v>
      </c>
      <c r="D46" s="16" t="n">
        <v>-1</v>
      </c>
      <c r="E46" s="18" t="s">
        <v>3255</v>
      </c>
      <c r="G46" s="18" t="s">
        <v>3461</v>
      </c>
    </row>
    <row r="47" customFormat="false" ht="15" hidden="false" customHeight="false" outlineLevel="0" collapsed="false">
      <c r="A47" s="18" t="s">
        <v>3462</v>
      </c>
      <c r="B47" s="18" t="s">
        <v>3463</v>
      </c>
      <c r="C47" s="18" t="s">
        <v>3464</v>
      </c>
      <c r="D47" s="16" t="n">
        <v>-1</v>
      </c>
      <c r="E47" s="18" t="s">
        <v>3255</v>
      </c>
      <c r="G47" s="18" t="s">
        <v>3465</v>
      </c>
    </row>
    <row r="48" customFormat="false" ht="15" hidden="false" customHeight="false" outlineLevel="0" collapsed="false">
      <c r="A48" s="18" t="s">
        <v>3466</v>
      </c>
      <c r="B48" s="18" t="s">
        <v>3467</v>
      </c>
      <c r="C48" s="18" t="s">
        <v>3468</v>
      </c>
      <c r="D48" s="16" t="n">
        <v>-1</v>
      </c>
      <c r="E48" s="18" t="s">
        <v>3255</v>
      </c>
      <c r="G48" s="18" t="s">
        <v>3469</v>
      </c>
    </row>
    <row r="49" customFormat="false" ht="15" hidden="false" customHeight="false" outlineLevel="0" collapsed="false">
      <c r="A49" s="18" t="s">
        <v>3470</v>
      </c>
      <c r="B49" s="18" t="s">
        <v>3471</v>
      </c>
      <c r="C49" s="18" t="s">
        <v>3472</v>
      </c>
      <c r="D49" s="16" t="n">
        <v>-1</v>
      </c>
      <c r="E49" s="18" t="s">
        <v>3255</v>
      </c>
      <c r="G49" s="18" t="s">
        <v>3473</v>
      </c>
    </row>
    <row r="50" customFormat="false" ht="15" hidden="false" customHeight="false" outlineLevel="0" collapsed="false">
      <c r="A50" s="18" t="s">
        <v>3474</v>
      </c>
      <c r="B50" s="18" t="s">
        <v>3475</v>
      </c>
      <c r="C50" s="18" t="s">
        <v>3476</v>
      </c>
      <c r="D50" s="16" t="n">
        <v>-1</v>
      </c>
      <c r="E50" s="18" t="s">
        <v>3255</v>
      </c>
      <c r="G50" s="18" t="s">
        <v>3477</v>
      </c>
    </row>
    <row r="51" customFormat="false" ht="15" hidden="false" customHeight="false" outlineLevel="0" collapsed="false">
      <c r="A51" s="18" t="s">
        <v>3478</v>
      </c>
      <c r="B51" s="18" t="s">
        <v>3479</v>
      </c>
      <c r="C51" s="18" t="s">
        <v>3480</v>
      </c>
      <c r="D51" s="16" t="n">
        <v>-1</v>
      </c>
      <c r="E51" s="18" t="s">
        <v>3255</v>
      </c>
      <c r="G51" s="18" t="s">
        <v>3481</v>
      </c>
    </row>
    <row r="52" customFormat="false" ht="15" hidden="false" customHeight="false" outlineLevel="0" collapsed="false">
      <c r="A52" s="18" t="s">
        <v>3482</v>
      </c>
      <c r="B52" s="18" t="s">
        <v>3483</v>
      </c>
      <c r="C52" s="18" t="s">
        <v>3484</v>
      </c>
      <c r="D52" s="16" t="n">
        <v>-1</v>
      </c>
      <c r="E52" s="18" t="s">
        <v>3255</v>
      </c>
    </row>
    <row r="53" customFormat="false" ht="15" hidden="false" customHeight="false" outlineLevel="0" collapsed="false">
      <c r="A53" s="18" t="s">
        <v>3485</v>
      </c>
      <c r="B53" s="18" t="s">
        <v>3486</v>
      </c>
      <c r="C53" s="18" t="s">
        <v>3487</v>
      </c>
      <c r="D53" s="16" t="n">
        <v>-1</v>
      </c>
      <c r="E53" s="18" t="s">
        <v>3255</v>
      </c>
    </row>
    <row r="54" customFormat="false" ht="15" hidden="false" customHeight="false" outlineLevel="0" collapsed="false">
      <c r="A54" s="18" t="s">
        <v>3488</v>
      </c>
      <c r="B54" s="18" t="s">
        <v>3489</v>
      </c>
      <c r="C54" s="18" t="s">
        <v>3490</v>
      </c>
      <c r="D54" s="16" t="n">
        <v>-2</v>
      </c>
      <c r="E54" s="18" t="s">
        <v>3255</v>
      </c>
      <c r="F54" s="18" t="s">
        <v>3491</v>
      </c>
      <c r="G54" s="18" t="s">
        <v>3492</v>
      </c>
      <c r="H54" s="16" t="n">
        <v>444150</v>
      </c>
    </row>
    <row r="55" customFormat="false" ht="15" hidden="false" customHeight="false" outlineLevel="0" collapsed="false">
      <c r="A55" s="18" t="s">
        <v>3493</v>
      </c>
      <c r="B55" s="18" t="s">
        <v>3494</v>
      </c>
      <c r="C55" s="18" t="s">
        <v>3495</v>
      </c>
      <c r="D55" s="16" t="n">
        <v>-1</v>
      </c>
      <c r="E55" s="18" t="s">
        <v>3255</v>
      </c>
      <c r="F55" s="18" t="s">
        <v>3496</v>
      </c>
      <c r="G55" s="18" t="s">
        <v>3497</v>
      </c>
      <c r="H55" s="16" t="n">
        <v>49</v>
      </c>
    </row>
    <row r="56" customFormat="false" ht="15" hidden="false" customHeight="false" outlineLevel="0" collapsed="false">
      <c r="A56" s="18" t="s">
        <v>3498</v>
      </c>
      <c r="B56" s="18" t="s">
        <v>3499</v>
      </c>
      <c r="C56" s="18" t="s">
        <v>3500</v>
      </c>
      <c r="D56" s="16" t="n">
        <v>-1</v>
      </c>
      <c r="E56" s="18" t="s">
        <v>3255</v>
      </c>
      <c r="F56" s="18" t="s">
        <v>3501</v>
      </c>
      <c r="G56" s="18" t="s">
        <v>3502</v>
      </c>
      <c r="H56" s="16" t="n">
        <v>439286</v>
      </c>
    </row>
    <row r="57" customFormat="false" ht="15" hidden="false" customHeight="false" outlineLevel="0" collapsed="false">
      <c r="A57" s="18" t="s">
        <v>3503</v>
      </c>
      <c r="B57" s="18" t="s">
        <v>3504</v>
      </c>
      <c r="C57" s="18" t="s">
        <v>3505</v>
      </c>
      <c r="D57" s="16" t="n">
        <v>-1</v>
      </c>
      <c r="E57" s="18" t="s">
        <v>3255</v>
      </c>
      <c r="G57" s="18" t="s">
        <v>3506</v>
      </c>
    </row>
    <row r="58" customFormat="false" ht="15" hidden="false" customHeight="false" outlineLevel="0" collapsed="false">
      <c r="A58" s="18" t="s">
        <v>3507</v>
      </c>
      <c r="B58" s="18" t="s">
        <v>3508</v>
      </c>
      <c r="C58" s="18" t="s">
        <v>3509</v>
      </c>
      <c r="D58" s="16" t="n">
        <v>-1</v>
      </c>
      <c r="E58" s="18" t="s">
        <v>3255</v>
      </c>
      <c r="G58" s="18" t="s">
        <v>3510</v>
      </c>
    </row>
    <row r="59" customFormat="false" ht="15" hidden="false" customHeight="false" outlineLevel="0" collapsed="false">
      <c r="A59" s="18" t="s">
        <v>3511</v>
      </c>
      <c r="B59" s="18" t="s">
        <v>3512</v>
      </c>
      <c r="C59" s="18" t="s">
        <v>3513</v>
      </c>
      <c r="D59" s="16" t="n">
        <v>-1</v>
      </c>
      <c r="E59" s="18" t="s">
        <v>3255</v>
      </c>
      <c r="G59" s="18" t="s">
        <v>3514</v>
      </c>
    </row>
    <row r="60" customFormat="false" ht="15" hidden="false" customHeight="false" outlineLevel="0" collapsed="false">
      <c r="A60" s="18" t="s">
        <v>3515</v>
      </c>
      <c r="B60" s="18" t="s">
        <v>3516</v>
      </c>
      <c r="C60" s="18" t="s">
        <v>3517</v>
      </c>
      <c r="D60" s="16" t="n">
        <v>-1</v>
      </c>
      <c r="E60" s="18" t="s">
        <v>3255</v>
      </c>
      <c r="G60" s="18" t="s">
        <v>3518</v>
      </c>
    </row>
    <row r="61" customFormat="false" ht="15" hidden="false" customHeight="false" outlineLevel="0" collapsed="false">
      <c r="A61" s="18" t="s">
        <v>3519</v>
      </c>
      <c r="B61" s="18" t="s">
        <v>3520</v>
      </c>
      <c r="C61" s="18" t="s">
        <v>3521</v>
      </c>
      <c r="D61" s="16" t="n">
        <v>-1</v>
      </c>
      <c r="E61" s="18" t="s">
        <v>3255</v>
      </c>
      <c r="G61" s="18" t="s">
        <v>3522</v>
      </c>
    </row>
    <row r="62" customFormat="false" ht="15" hidden="false" customHeight="false" outlineLevel="0" collapsed="false">
      <c r="A62" s="18" t="s">
        <v>3523</v>
      </c>
      <c r="B62" s="18" t="s">
        <v>3524</v>
      </c>
      <c r="C62" s="18" t="s">
        <v>3525</v>
      </c>
      <c r="D62" s="16" t="n">
        <v>-1</v>
      </c>
      <c r="E62" s="18" t="s">
        <v>3255</v>
      </c>
      <c r="G62" s="18" t="s">
        <v>3526</v>
      </c>
    </row>
    <row r="63" customFormat="false" ht="15" hidden="false" customHeight="false" outlineLevel="0" collapsed="false">
      <c r="A63" s="18" t="s">
        <v>3527</v>
      </c>
      <c r="B63" s="18" t="s">
        <v>3528</v>
      </c>
      <c r="C63" s="18" t="s">
        <v>3529</v>
      </c>
      <c r="D63" s="16" t="n">
        <v>-1</v>
      </c>
      <c r="E63" s="18" t="s">
        <v>3255</v>
      </c>
      <c r="G63" s="18" t="s">
        <v>3530</v>
      </c>
    </row>
    <row r="64" customFormat="false" ht="15" hidden="false" customHeight="false" outlineLevel="0" collapsed="false">
      <c r="A64" s="18" t="s">
        <v>3531</v>
      </c>
      <c r="B64" s="18" t="s">
        <v>3532</v>
      </c>
      <c r="C64" s="18" t="s">
        <v>3533</v>
      </c>
      <c r="D64" s="16" t="n">
        <v>-1</v>
      </c>
      <c r="E64" s="18" t="s">
        <v>3255</v>
      </c>
      <c r="F64" s="18" t="s">
        <v>3534</v>
      </c>
      <c r="G64" s="18" t="s">
        <v>3535</v>
      </c>
      <c r="H64" s="16" t="n">
        <v>5280831</v>
      </c>
    </row>
    <row r="65" customFormat="false" ht="15" hidden="false" customHeight="false" outlineLevel="0" collapsed="false">
      <c r="A65" s="18" t="s">
        <v>3536</v>
      </c>
      <c r="B65" s="18" t="s">
        <v>3537</v>
      </c>
      <c r="C65" s="18" t="s">
        <v>3538</v>
      </c>
      <c r="D65" s="16" t="n">
        <v>-1</v>
      </c>
      <c r="E65" s="18" t="s">
        <v>3255</v>
      </c>
    </row>
    <row r="66" customFormat="false" ht="15" hidden="false" customHeight="false" outlineLevel="0" collapsed="false">
      <c r="A66" s="18" t="s">
        <v>3539</v>
      </c>
      <c r="B66" s="18" t="s">
        <v>3540</v>
      </c>
      <c r="C66" s="18" t="s">
        <v>3541</v>
      </c>
      <c r="D66" s="16" t="n">
        <v>-1</v>
      </c>
      <c r="E66" s="18" t="s">
        <v>3255</v>
      </c>
    </row>
    <row r="67" customFormat="false" ht="15" hidden="false" customHeight="false" outlineLevel="0" collapsed="false">
      <c r="A67" s="18" t="s">
        <v>3542</v>
      </c>
      <c r="B67" s="18" t="s">
        <v>3543</v>
      </c>
      <c r="C67" s="18" t="s">
        <v>3544</v>
      </c>
      <c r="D67" s="16" t="n">
        <v>-1</v>
      </c>
      <c r="E67" s="18" t="s">
        <v>3255</v>
      </c>
    </row>
    <row r="68" customFormat="false" ht="15" hidden="false" customHeight="false" outlineLevel="0" collapsed="false">
      <c r="A68" s="18" t="s">
        <v>3545</v>
      </c>
      <c r="B68" s="18" t="s">
        <v>3546</v>
      </c>
      <c r="C68" s="18" t="s">
        <v>3547</v>
      </c>
      <c r="D68" s="16" t="n">
        <v>-1</v>
      </c>
      <c r="E68" s="18" t="s">
        <v>3255</v>
      </c>
    </row>
    <row r="69" customFormat="false" ht="15" hidden="false" customHeight="false" outlineLevel="0" collapsed="false">
      <c r="A69" s="18" t="s">
        <v>3548</v>
      </c>
      <c r="B69" s="18" t="s">
        <v>3549</v>
      </c>
      <c r="C69" s="18" t="s">
        <v>3400</v>
      </c>
      <c r="D69" s="16" t="n">
        <v>-3</v>
      </c>
      <c r="E69" s="18" t="s">
        <v>3255</v>
      </c>
      <c r="F69" s="18" t="s">
        <v>3550</v>
      </c>
      <c r="G69" s="18" t="s">
        <v>3551</v>
      </c>
      <c r="H69" s="16" t="n">
        <v>439183</v>
      </c>
    </row>
    <row r="70" customFormat="false" ht="15" hidden="false" customHeight="false" outlineLevel="0" collapsed="false">
      <c r="A70" s="18" t="s">
        <v>3552</v>
      </c>
      <c r="B70" s="18" t="s">
        <v>3553</v>
      </c>
      <c r="C70" s="18" t="s">
        <v>3554</v>
      </c>
      <c r="D70" s="16" t="n">
        <v>-3</v>
      </c>
      <c r="E70" s="18" t="s">
        <v>3255</v>
      </c>
      <c r="F70" s="18" t="s">
        <v>3555</v>
      </c>
      <c r="G70" s="18" t="s">
        <v>3556</v>
      </c>
      <c r="H70" s="16" t="n">
        <v>105</v>
      </c>
    </row>
    <row r="71" customFormat="false" ht="15" hidden="false" customHeight="false" outlineLevel="0" collapsed="false">
      <c r="A71" s="18" t="s">
        <v>3557</v>
      </c>
      <c r="B71" s="18" t="s">
        <v>3558</v>
      </c>
      <c r="C71" s="18" t="s">
        <v>3559</v>
      </c>
      <c r="D71" s="16" t="n">
        <v>-4</v>
      </c>
      <c r="E71" s="18" t="s">
        <v>3255</v>
      </c>
      <c r="F71" s="18" t="s">
        <v>3560</v>
      </c>
      <c r="G71" s="18" t="s">
        <v>3561</v>
      </c>
      <c r="H71" s="16" t="n">
        <v>439463</v>
      </c>
    </row>
    <row r="72" customFormat="false" ht="15" hidden="false" customHeight="false" outlineLevel="0" collapsed="false">
      <c r="A72" s="18" t="s">
        <v>3562</v>
      </c>
      <c r="B72" s="18" t="s">
        <v>3563</v>
      </c>
      <c r="C72" s="18" t="s">
        <v>3564</v>
      </c>
      <c r="D72" s="16" t="n">
        <v>-1</v>
      </c>
      <c r="E72" s="18" t="s">
        <v>3255</v>
      </c>
      <c r="F72" s="18" t="s">
        <v>3565</v>
      </c>
      <c r="G72" s="18" t="s">
        <v>3566</v>
      </c>
      <c r="H72" s="16" t="n">
        <v>978</v>
      </c>
    </row>
    <row r="73" customFormat="false" ht="15" hidden="false" customHeight="false" outlineLevel="0" collapsed="false">
      <c r="A73" s="18" t="s">
        <v>3567</v>
      </c>
      <c r="B73" s="18" t="s">
        <v>3568</v>
      </c>
      <c r="C73" s="18" t="s">
        <v>3569</v>
      </c>
      <c r="D73" s="16" t="n">
        <v>-1</v>
      </c>
      <c r="E73" s="18" t="s">
        <v>3255</v>
      </c>
      <c r="F73" s="18" t="s">
        <v>3570</v>
      </c>
      <c r="G73" s="18" t="s">
        <v>3571</v>
      </c>
      <c r="H73" s="16" t="n">
        <v>443142</v>
      </c>
    </row>
    <row r="74" customFormat="false" ht="15" hidden="false" customHeight="false" outlineLevel="0" collapsed="false">
      <c r="A74" s="18" t="s">
        <v>3572</v>
      </c>
      <c r="B74" s="18" t="s">
        <v>3573</v>
      </c>
      <c r="C74" s="18" t="s">
        <v>3574</v>
      </c>
      <c r="D74" s="16" t="n">
        <v>0</v>
      </c>
      <c r="E74" s="18" t="s">
        <v>3255</v>
      </c>
      <c r="F74" s="18" t="s">
        <v>3575</v>
      </c>
      <c r="G74" s="18" t="s">
        <v>3576</v>
      </c>
      <c r="H74" s="16" t="n">
        <v>777</v>
      </c>
    </row>
    <row r="75" customFormat="false" ht="15" hidden="false" customHeight="false" outlineLevel="0" collapsed="false">
      <c r="A75" s="18" t="s">
        <v>3577</v>
      </c>
      <c r="B75" s="18" t="s">
        <v>3578</v>
      </c>
      <c r="C75" s="18" t="s">
        <v>3579</v>
      </c>
      <c r="D75" s="16" t="n">
        <v>-2</v>
      </c>
      <c r="E75" s="18" t="s">
        <v>3255</v>
      </c>
      <c r="F75" s="18" t="s">
        <v>3580</v>
      </c>
      <c r="G75" s="18" t="s">
        <v>3581</v>
      </c>
      <c r="H75" s="16" t="n">
        <v>216</v>
      </c>
    </row>
    <row r="76" customFormat="false" ht="15" hidden="false" customHeight="false" outlineLevel="0" collapsed="false">
      <c r="A76" s="18" t="s">
        <v>3582</v>
      </c>
      <c r="B76" s="18" t="s">
        <v>3583</v>
      </c>
      <c r="C76" s="18" t="s">
        <v>3584</v>
      </c>
      <c r="D76" s="16" t="n">
        <v>-2</v>
      </c>
      <c r="E76" s="18" t="s">
        <v>3255</v>
      </c>
      <c r="F76" s="18" t="s">
        <v>3585</v>
      </c>
      <c r="G76" s="18" t="s">
        <v>3586</v>
      </c>
      <c r="H76" s="16" t="n">
        <v>443199</v>
      </c>
    </row>
    <row r="77" customFormat="false" ht="15" hidden="false" customHeight="false" outlineLevel="0" collapsed="false">
      <c r="A77" s="18" t="s">
        <v>3587</v>
      </c>
      <c r="B77" s="18" t="s">
        <v>3588</v>
      </c>
      <c r="C77" s="18" t="s">
        <v>3589</v>
      </c>
      <c r="D77" s="16" t="n">
        <v>0</v>
      </c>
      <c r="E77" s="18" t="s">
        <v>3255</v>
      </c>
      <c r="F77" s="18" t="s">
        <v>3590</v>
      </c>
      <c r="H77" s="16" t="n">
        <v>125</v>
      </c>
    </row>
    <row r="78" customFormat="false" ht="15" hidden="false" customHeight="false" outlineLevel="0" collapsed="false">
      <c r="A78" s="18" t="s">
        <v>3591</v>
      </c>
      <c r="B78" s="18" t="s">
        <v>3588</v>
      </c>
      <c r="C78" s="18" t="s">
        <v>3589</v>
      </c>
      <c r="D78" s="16" t="n">
        <v>0</v>
      </c>
      <c r="E78" s="18" t="s">
        <v>3592</v>
      </c>
      <c r="F78" s="18" t="s">
        <v>3590</v>
      </c>
      <c r="H78" s="16" t="n">
        <v>125</v>
      </c>
    </row>
    <row r="79" customFormat="false" ht="15" hidden="false" customHeight="false" outlineLevel="0" collapsed="false">
      <c r="A79" s="18" t="s">
        <v>3593</v>
      </c>
      <c r="B79" s="18" t="s">
        <v>3588</v>
      </c>
      <c r="C79" s="18" t="s">
        <v>3589</v>
      </c>
      <c r="D79" s="16" t="n">
        <v>0</v>
      </c>
      <c r="E79" s="18" t="s">
        <v>3594</v>
      </c>
      <c r="F79" s="18" t="s">
        <v>3590</v>
      </c>
      <c r="H79" s="16" t="n">
        <v>125</v>
      </c>
    </row>
    <row r="80" customFormat="false" ht="15" hidden="false" customHeight="false" outlineLevel="0" collapsed="false">
      <c r="A80" s="18" t="s">
        <v>3595</v>
      </c>
      <c r="B80" s="18" t="s">
        <v>3596</v>
      </c>
      <c r="C80" s="18" t="s">
        <v>3597</v>
      </c>
      <c r="D80" s="16" t="n">
        <v>-1</v>
      </c>
      <c r="E80" s="18" t="s">
        <v>3255</v>
      </c>
      <c r="F80" s="18" t="s">
        <v>3598</v>
      </c>
      <c r="G80" s="18" t="s">
        <v>3599</v>
      </c>
      <c r="H80" s="16" t="n">
        <v>135</v>
      </c>
    </row>
    <row r="81" customFormat="false" ht="15" hidden="false" customHeight="false" outlineLevel="0" collapsed="false">
      <c r="A81" s="18" t="s">
        <v>3600</v>
      </c>
      <c r="B81" s="18" t="s">
        <v>3601</v>
      </c>
      <c r="C81" s="18" t="s">
        <v>3602</v>
      </c>
      <c r="D81" s="16" t="n">
        <v>0</v>
      </c>
      <c r="E81" s="18" t="s">
        <v>3255</v>
      </c>
      <c r="F81" s="18" t="s">
        <v>3603</v>
      </c>
      <c r="G81" s="18" t="s">
        <v>3604</v>
      </c>
      <c r="H81" s="16" t="n">
        <v>1136</v>
      </c>
    </row>
    <row r="82" customFormat="false" ht="15" hidden="false" customHeight="false" outlineLevel="0" collapsed="false">
      <c r="A82" s="18" t="s">
        <v>3605</v>
      </c>
      <c r="B82" s="18" t="s">
        <v>3606</v>
      </c>
      <c r="C82" s="18" t="s">
        <v>3500</v>
      </c>
      <c r="D82" s="16" t="n">
        <v>-1</v>
      </c>
      <c r="E82" s="18" t="s">
        <v>3255</v>
      </c>
      <c r="F82" s="18" t="s">
        <v>3607</v>
      </c>
      <c r="G82" s="18" t="s">
        <v>3608</v>
      </c>
      <c r="H82" s="16" t="n">
        <v>70</v>
      </c>
    </row>
    <row r="83" customFormat="false" ht="15" hidden="false" customHeight="false" outlineLevel="0" collapsed="false">
      <c r="A83" s="18" t="s">
        <v>3609</v>
      </c>
      <c r="B83" s="18" t="s">
        <v>3610</v>
      </c>
      <c r="C83" s="18" t="s">
        <v>3611</v>
      </c>
      <c r="D83" s="16" t="n">
        <v>-2</v>
      </c>
      <c r="E83" s="18" t="s">
        <v>3255</v>
      </c>
      <c r="F83" s="18" t="s">
        <v>3612</v>
      </c>
      <c r="G83" s="18" t="s">
        <v>3613</v>
      </c>
      <c r="H83" s="16" t="n">
        <v>1137</v>
      </c>
    </row>
    <row r="84" customFormat="false" ht="15" hidden="false" customHeight="false" outlineLevel="0" collapsed="false">
      <c r="A84" s="18" t="s">
        <v>3614</v>
      </c>
      <c r="B84" s="18" t="s">
        <v>3615</v>
      </c>
      <c r="C84" s="18" t="s">
        <v>3616</v>
      </c>
      <c r="D84" s="16" t="n">
        <v>-2</v>
      </c>
      <c r="E84" s="18" t="s">
        <v>3255</v>
      </c>
      <c r="F84" s="18" t="s">
        <v>3617</v>
      </c>
      <c r="G84" s="18" t="s">
        <v>3618</v>
      </c>
      <c r="H84" s="16" t="n">
        <v>152441</v>
      </c>
    </row>
    <row r="85" customFormat="false" ht="15" hidden="false" customHeight="false" outlineLevel="0" collapsed="false">
      <c r="A85" s="18" t="s">
        <v>3619</v>
      </c>
      <c r="B85" s="18" t="s">
        <v>3620</v>
      </c>
      <c r="C85" s="18" t="s">
        <v>3621</v>
      </c>
      <c r="D85" s="16" t="n">
        <v>-3</v>
      </c>
      <c r="E85" s="18" t="s">
        <v>3255</v>
      </c>
      <c r="F85" s="18" t="s">
        <v>3622</v>
      </c>
      <c r="G85" s="18" t="s">
        <v>3623</v>
      </c>
      <c r="H85" s="16" t="n">
        <v>696</v>
      </c>
    </row>
    <row r="86" customFormat="false" ht="15" hidden="false" customHeight="false" outlineLevel="0" collapsed="false">
      <c r="A86" s="18" t="s">
        <v>3624</v>
      </c>
      <c r="B86" s="18" t="s">
        <v>3625</v>
      </c>
      <c r="C86" s="18" t="s">
        <v>3626</v>
      </c>
      <c r="D86" s="16" t="n">
        <v>-2</v>
      </c>
      <c r="E86" s="18" t="s">
        <v>3255</v>
      </c>
      <c r="F86" s="18" t="s">
        <v>3627</v>
      </c>
      <c r="G86" s="18" t="s">
        <v>3628</v>
      </c>
      <c r="H86" s="16" t="n">
        <v>987</v>
      </c>
    </row>
    <row r="87" customFormat="false" ht="15" hidden="false" customHeight="false" outlineLevel="0" collapsed="false">
      <c r="A87" s="18" t="s">
        <v>3629</v>
      </c>
      <c r="B87" s="18" t="s">
        <v>3630</v>
      </c>
      <c r="C87" s="18" t="s">
        <v>3631</v>
      </c>
      <c r="D87" s="16" t="n">
        <v>-3</v>
      </c>
      <c r="E87" s="18" t="s">
        <v>3255</v>
      </c>
      <c r="F87" s="18" t="s">
        <v>3632</v>
      </c>
      <c r="G87" s="18" t="s">
        <v>3633</v>
      </c>
      <c r="H87" s="16" t="n">
        <v>440304</v>
      </c>
    </row>
    <row r="88" customFormat="false" ht="15" hidden="false" customHeight="false" outlineLevel="0" collapsed="false">
      <c r="A88" s="18" t="s">
        <v>3634</v>
      </c>
      <c r="B88" s="18" t="s">
        <v>3635</v>
      </c>
      <c r="C88" s="18" t="s">
        <v>3636</v>
      </c>
      <c r="D88" s="16" t="n">
        <v>0</v>
      </c>
      <c r="E88" s="18" t="s">
        <v>3255</v>
      </c>
      <c r="F88" s="18" t="s">
        <v>3637</v>
      </c>
      <c r="G88" s="18" t="s">
        <v>3638</v>
      </c>
      <c r="H88" s="16" t="n">
        <v>221</v>
      </c>
    </row>
    <row r="89" customFormat="false" ht="15" hidden="false" customHeight="false" outlineLevel="0" collapsed="false">
      <c r="A89" s="18" t="s">
        <v>3639</v>
      </c>
      <c r="B89" s="18" t="s">
        <v>3640</v>
      </c>
      <c r="C89" s="18" t="s">
        <v>3641</v>
      </c>
      <c r="D89" s="16" t="n">
        <v>-2</v>
      </c>
      <c r="E89" s="18" t="s">
        <v>3255</v>
      </c>
      <c r="G89" s="18" t="s">
        <v>3642</v>
      </c>
      <c r="H89" s="16" t="n">
        <v>333</v>
      </c>
    </row>
    <row r="90" customFormat="false" ht="15" hidden="false" customHeight="false" outlineLevel="0" collapsed="false">
      <c r="A90" s="18" t="s">
        <v>3643</v>
      </c>
      <c r="B90" s="18" t="s">
        <v>3644</v>
      </c>
      <c r="C90" s="18" t="s">
        <v>3645</v>
      </c>
      <c r="D90" s="16" t="n">
        <v>-3</v>
      </c>
      <c r="E90" s="18" t="s">
        <v>3255</v>
      </c>
      <c r="F90" s="18" t="s">
        <v>3646</v>
      </c>
      <c r="G90" s="18" t="s">
        <v>3647</v>
      </c>
      <c r="H90" s="16" t="n">
        <v>165388</v>
      </c>
    </row>
    <row r="91" customFormat="false" ht="15" hidden="false" customHeight="false" outlineLevel="0" collapsed="false">
      <c r="A91" s="18" t="s">
        <v>3648</v>
      </c>
      <c r="B91" s="18" t="s">
        <v>3649</v>
      </c>
      <c r="C91" s="18" t="s">
        <v>3650</v>
      </c>
      <c r="D91" s="16" t="n">
        <v>0</v>
      </c>
      <c r="E91" s="18" t="s">
        <v>3255</v>
      </c>
      <c r="F91" s="18" t="s">
        <v>3651</v>
      </c>
      <c r="G91" s="18" t="s">
        <v>3652</v>
      </c>
      <c r="H91" s="16" t="n">
        <v>137</v>
      </c>
    </row>
    <row r="92" customFormat="false" ht="15" hidden="false" customHeight="false" outlineLevel="0" collapsed="false">
      <c r="A92" s="18" t="s">
        <v>3653</v>
      </c>
      <c r="B92" s="18" t="s">
        <v>3654</v>
      </c>
      <c r="C92" s="18" t="s">
        <v>3655</v>
      </c>
      <c r="D92" s="16" t="n">
        <v>-2</v>
      </c>
      <c r="E92" s="18" t="s">
        <v>3255</v>
      </c>
      <c r="F92" s="18" t="s">
        <v>3656</v>
      </c>
      <c r="G92" s="18" t="s">
        <v>3657</v>
      </c>
      <c r="H92" s="16" t="n">
        <v>439462</v>
      </c>
    </row>
    <row r="93" customFormat="false" ht="15" hidden="false" customHeight="false" outlineLevel="0" collapsed="false">
      <c r="A93" s="18" t="s">
        <v>3658</v>
      </c>
      <c r="B93" s="18" t="s">
        <v>3659</v>
      </c>
      <c r="C93" s="18" t="s">
        <v>3254</v>
      </c>
      <c r="D93" s="16" t="n">
        <v>-2</v>
      </c>
      <c r="E93" s="18" t="s">
        <v>3255</v>
      </c>
      <c r="F93" s="18" t="s">
        <v>3660</v>
      </c>
      <c r="G93" s="18" t="s">
        <v>3661</v>
      </c>
      <c r="H93" s="16" t="n">
        <v>143</v>
      </c>
    </row>
    <row r="94" customFormat="false" ht="15" hidden="false" customHeight="false" outlineLevel="0" collapsed="false">
      <c r="A94" s="18" t="s">
        <v>3662</v>
      </c>
      <c r="B94" s="18" t="s">
        <v>3663</v>
      </c>
      <c r="C94" s="18" t="s">
        <v>3664</v>
      </c>
      <c r="D94" s="16" t="n">
        <v>0</v>
      </c>
      <c r="E94" s="18" t="s">
        <v>3255</v>
      </c>
      <c r="F94" s="18" t="s">
        <v>3665</v>
      </c>
      <c r="G94" s="18" t="s">
        <v>3666</v>
      </c>
      <c r="H94" s="16" t="n">
        <v>439176</v>
      </c>
    </row>
    <row r="95" customFormat="false" ht="15" hidden="false" customHeight="false" outlineLevel="0" collapsed="false">
      <c r="A95" s="18" t="s">
        <v>3667</v>
      </c>
      <c r="B95" s="18" t="s">
        <v>3668</v>
      </c>
      <c r="C95" s="18" t="s">
        <v>3669</v>
      </c>
      <c r="D95" s="16" t="n">
        <v>-2</v>
      </c>
      <c r="E95" s="18" t="s">
        <v>3255</v>
      </c>
      <c r="F95" s="18" t="s">
        <v>3670</v>
      </c>
      <c r="G95" s="18" t="s">
        <v>3671</v>
      </c>
      <c r="H95" s="16" t="n">
        <v>439234</v>
      </c>
    </row>
    <row r="96" customFormat="false" ht="15" hidden="false" customHeight="false" outlineLevel="0" collapsed="false">
      <c r="A96" s="18" t="s">
        <v>3672</v>
      </c>
      <c r="B96" s="18" t="s">
        <v>3673</v>
      </c>
      <c r="C96" s="18" t="s">
        <v>3674</v>
      </c>
      <c r="D96" s="16" t="n">
        <v>0</v>
      </c>
      <c r="E96" s="18" t="s">
        <v>3255</v>
      </c>
      <c r="F96" s="18" t="s">
        <v>3675</v>
      </c>
      <c r="G96" s="18" t="s">
        <v>3676</v>
      </c>
      <c r="H96" s="16" t="n">
        <v>440359</v>
      </c>
    </row>
    <row r="97" customFormat="false" ht="15" hidden="false" customHeight="false" outlineLevel="0" collapsed="false">
      <c r="A97" s="18" t="s">
        <v>3677</v>
      </c>
      <c r="B97" s="18" t="s">
        <v>3678</v>
      </c>
      <c r="C97" s="18" t="s">
        <v>3679</v>
      </c>
      <c r="D97" s="16" t="n">
        <v>-1</v>
      </c>
      <c r="E97" s="18" t="s">
        <v>3255</v>
      </c>
      <c r="F97" s="18" t="s">
        <v>3680</v>
      </c>
      <c r="G97" s="18" t="s">
        <v>3681</v>
      </c>
      <c r="H97" s="16" t="n">
        <v>7405</v>
      </c>
    </row>
    <row r="98" customFormat="false" ht="15" hidden="false" customHeight="false" outlineLevel="0" collapsed="false">
      <c r="A98" s="18" t="s">
        <v>3682</v>
      </c>
      <c r="B98" s="18" t="s">
        <v>3683</v>
      </c>
      <c r="C98" s="18" t="s">
        <v>3684</v>
      </c>
      <c r="D98" s="16" t="n">
        <v>0</v>
      </c>
      <c r="E98" s="18" t="s">
        <v>3255</v>
      </c>
      <c r="F98" s="18" t="s">
        <v>3685</v>
      </c>
      <c r="G98" s="18" t="s">
        <v>3686</v>
      </c>
      <c r="H98" s="16" t="n">
        <v>218</v>
      </c>
    </row>
    <row r="99" customFormat="false" ht="15" hidden="false" customHeight="false" outlineLevel="0" collapsed="false">
      <c r="A99" s="18" t="s">
        <v>3687</v>
      </c>
      <c r="B99" s="18" t="s">
        <v>3688</v>
      </c>
      <c r="C99" s="18" t="s">
        <v>3689</v>
      </c>
      <c r="D99" s="16" t="n">
        <v>-3</v>
      </c>
      <c r="E99" s="18" t="s">
        <v>3255</v>
      </c>
      <c r="F99" s="18" t="s">
        <v>3690</v>
      </c>
      <c r="G99" s="18" t="s">
        <v>3691</v>
      </c>
      <c r="H99" s="16" t="n">
        <v>91493</v>
      </c>
    </row>
    <row r="100" customFormat="false" ht="15" hidden="false" customHeight="false" outlineLevel="0" collapsed="false">
      <c r="A100" s="18" t="s">
        <v>3692</v>
      </c>
      <c r="B100" s="18" t="s">
        <v>3693</v>
      </c>
      <c r="C100" s="18" t="s">
        <v>3694</v>
      </c>
      <c r="D100" s="16" t="n">
        <v>-2</v>
      </c>
      <c r="E100" s="18" t="s">
        <v>3255</v>
      </c>
      <c r="F100" s="18" t="s">
        <v>3695</v>
      </c>
      <c r="G100" s="18" t="s">
        <v>3696</v>
      </c>
      <c r="H100" s="16" t="n">
        <v>439452</v>
      </c>
    </row>
    <row r="101" customFormat="false" ht="15" hidden="false" customHeight="false" outlineLevel="0" collapsed="false">
      <c r="A101" s="18" t="s">
        <v>3697</v>
      </c>
      <c r="B101" s="18" t="s">
        <v>3698</v>
      </c>
      <c r="C101" s="18" t="s">
        <v>3699</v>
      </c>
      <c r="D101" s="16" t="n">
        <v>0</v>
      </c>
      <c r="E101" s="18" t="s">
        <v>3255</v>
      </c>
      <c r="F101" s="18" t="s">
        <v>3700</v>
      </c>
      <c r="G101" s="18" t="s">
        <v>3701</v>
      </c>
      <c r="H101" s="16" t="n">
        <v>173</v>
      </c>
    </row>
    <row r="102" customFormat="false" ht="15" hidden="false" customHeight="false" outlineLevel="0" collapsed="false">
      <c r="A102" s="18" t="s">
        <v>3702</v>
      </c>
      <c r="B102" s="18" t="s">
        <v>3703</v>
      </c>
      <c r="C102" s="18" t="s">
        <v>3704</v>
      </c>
      <c r="D102" s="16" t="n">
        <v>-1</v>
      </c>
      <c r="E102" s="18" t="s">
        <v>3255</v>
      </c>
      <c r="G102" s="18" t="s">
        <v>3705</v>
      </c>
    </row>
    <row r="103" customFormat="false" ht="15" hidden="false" customHeight="false" outlineLevel="0" collapsed="false">
      <c r="A103" s="18" t="s">
        <v>3706</v>
      </c>
      <c r="B103" s="18" t="s">
        <v>3707</v>
      </c>
      <c r="D103" s="16" t="n">
        <v>0</v>
      </c>
      <c r="E103" s="18" t="s">
        <v>3255</v>
      </c>
    </row>
    <row r="104" customFormat="false" ht="15" hidden="false" customHeight="false" outlineLevel="0" collapsed="false">
      <c r="A104" s="18" t="s">
        <v>3708</v>
      </c>
      <c r="B104" s="18" t="s">
        <v>3709</v>
      </c>
      <c r="C104" s="18" t="s">
        <v>3710</v>
      </c>
      <c r="D104" s="16" t="n">
        <v>-1</v>
      </c>
      <c r="E104" s="18" t="s">
        <v>3255</v>
      </c>
    </row>
    <row r="105" customFormat="false" ht="15" hidden="false" customHeight="false" outlineLevel="0" collapsed="false">
      <c r="A105" s="18" t="s">
        <v>3711</v>
      </c>
      <c r="B105" s="18" t="s">
        <v>3712</v>
      </c>
      <c r="C105" s="18" t="s">
        <v>3713</v>
      </c>
      <c r="D105" s="16" t="n">
        <v>-1</v>
      </c>
      <c r="E105" s="18" t="s">
        <v>3255</v>
      </c>
    </row>
    <row r="106" customFormat="false" ht="15" hidden="false" customHeight="false" outlineLevel="0" collapsed="false">
      <c r="A106" s="18" t="s">
        <v>3714</v>
      </c>
      <c r="B106" s="18" t="s">
        <v>3715</v>
      </c>
      <c r="C106" s="18" t="s">
        <v>3716</v>
      </c>
      <c r="D106" s="16" t="n">
        <v>-1</v>
      </c>
      <c r="E106" s="18" t="s">
        <v>3255</v>
      </c>
    </row>
    <row r="107" customFormat="false" ht="15" hidden="false" customHeight="false" outlineLevel="0" collapsed="false">
      <c r="A107" s="18" t="s">
        <v>3717</v>
      </c>
      <c r="B107" s="18" t="s">
        <v>3718</v>
      </c>
      <c r="C107" s="18" t="s">
        <v>3719</v>
      </c>
      <c r="D107" s="16" t="n">
        <v>0</v>
      </c>
      <c r="E107" s="18" t="s">
        <v>3255</v>
      </c>
    </row>
    <row r="108" customFormat="false" ht="15" hidden="false" customHeight="false" outlineLevel="0" collapsed="false">
      <c r="A108" s="18" t="s">
        <v>3720</v>
      </c>
      <c r="B108" s="18" t="s">
        <v>3721</v>
      </c>
      <c r="C108" s="18" t="s">
        <v>3722</v>
      </c>
      <c r="D108" s="16" t="n">
        <v>0</v>
      </c>
      <c r="E108" s="18" t="s">
        <v>3255</v>
      </c>
    </row>
    <row r="109" customFormat="false" ht="15" hidden="false" customHeight="false" outlineLevel="0" collapsed="false">
      <c r="A109" s="18" t="s">
        <v>3723</v>
      </c>
      <c r="B109" s="18" t="s">
        <v>3724</v>
      </c>
      <c r="C109" s="18" t="s">
        <v>3725</v>
      </c>
      <c r="D109" s="16" t="n">
        <v>-1</v>
      </c>
      <c r="E109" s="18" t="s">
        <v>3255</v>
      </c>
      <c r="G109" s="18" t="s">
        <v>3726</v>
      </c>
    </row>
    <row r="110" customFormat="false" ht="15" hidden="false" customHeight="false" outlineLevel="0" collapsed="false">
      <c r="A110" s="18" t="s">
        <v>3727</v>
      </c>
      <c r="B110" s="18" t="s">
        <v>3728</v>
      </c>
      <c r="C110" s="18" t="s">
        <v>3729</v>
      </c>
      <c r="D110" s="16" t="n">
        <v>-1</v>
      </c>
      <c r="E110" s="18" t="s">
        <v>3255</v>
      </c>
      <c r="F110" s="18" t="s">
        <v>3730</v>
      </c>
      <c r="G110" s="18" t="s">
        <v>3731</v>
      </c>
      <c r="H110" s="16" t="n">
        <v>176</v>
      </c>
    </row>
    <row r="111" customFormat="false" ht="15" hidden="false" customHeight="false" outlineLevel="0" collapsed="false">
      <c r="A111" s="18" t="s">
        <v>3732</v>
      </c>
      <c r="B111" s="18" t="s">
        <v>3733</v>
      </c>
      <c r="C111" s="18" t="s">
        <v>3734</v>
      </c>
      <c r="D111" s="16" t="n">
        <v>-4</v>
      </c>
      <c r="E111" s="18" t="s">
        <v>3255</v>
      </c>
      <c r="F111" s="18" t="s">
        <v>3735</v>
      </c>
      <c r="G111" s="18" t="s">
        <v>3736</v>
      </c>
      <c r="H111" s="16" t="n">
        <v>6302</v>
      </c>
    </row>
    <row r="112" customFormat="false" ht="15" hidden="false" customHeight="false" outlineLevel="0" collapsed="false">
      <c r="A112" s="18" t="s">
        <v>3737</v>
      </c>
      <c r="B112" s="18" t="s">
        <v>3738</v>
      </c>
      <c r="C112" s="18" t="s">
        <v>3739</v>
      </c>
      <c r="D112" s="16" t="n">
        <v>-3</v>
      </c>
      <c r="E112" s="18" t="s">
        <v>3255</v>
      </c>
      <c r="F112" s="18" t="s">
        <v>3740</v>
      </c>
      <c r="G112" s="18" t="s">
        <v>3741</v>
      </c>
      <c r="H112" s="16" t="n">
        <v>440236</v>
      </c>
    </row>
    <row r="113" customFormat="false" ht="15" hidden="false" customHeight="false" outlineLevel="0" collapsed="false">
      <c r="A113" s="18" t="s">
        <v>3742</v>
      </c>
      <c r="B113" s="18" t="s">
        <v>3743</v>
      </c>
      <c r="C113" s="18" t="s">
        <v>3744</v>
      </c>
      <c r="D113" s="16" t="n">
        <v>-1</v>
      </c>
      <c r="E113" s="18" t="s">
        <v>3255</v>
      </c>
      <c r="F113" s="18" t="s">
        <v>3745</v>
      </c>
      <c r="G113" s="18" t="s">
        <v>3746</v>
      </c>
      <c r="H113" s="16" t="n">
        <v>192878</v>
      </c>
    </row>
    <row r="114" customFormat="false" ht="15" hidden="false" customHeight="false" outlineLevel="0" collapsed="false">
      <c r="A114" s="18" t="s">
        <v>3747</v>
      </c>
      <c r="B114" s="18" t="s">
        <v>3748</v>
      </c>
      <c r="C114" s="18" t="s">
        <v>3749</v>
      </c>
      <c r="D114" s="16" t="n">
        <v>-2</v>
      </c>
      <c r="E114" s="18" t="s">
        <v>3255</v>
      </c>
      <c r="F114" s="18" t="s">
        <v>3750</v>
      </c>
      <c r="G114" s="18" t="s">
        <v>3751</v>
      </c>
      <c r="H114" s="16" t="n">
        <v>440272</v>
      </c>
    </row>
    <row r="115" customFormat="false" ht="15" hidden="false" customHeight="false" outlineLevel="0" collapsed="false">
      <c r="A115" s="18" t="s">
        <v>3752</v>
      </c>
      <c r="B115" s="18" t="s">
        <v>3753</v>
      </c>
      <c r="C115" s="18" t="s">
        <v>3754</v>
      </c>
      <c r="D115" s="16" t="n">
        <v>-2</v>
      </c>
      <c r="E115" s="18" t="s">
        <v>3255</v>
      </c>
      <c r="F115" s="18" t="s">
        <v>3755</v>
      </c>
      <c r="G115" s="18" t="s">
        <v>3756</v>
      </c>
      <c r="H115" s="16" t="n">
        <v>70914</v>
      </c>
    </row>
    <row r="116" customFormat="false" ht="15" hidden="false" customHeight="false" outlineLevel="0" collapsed="false">
      <c r="A116" s="18" t="s">
        <v>3757</v>
      </c>
      <c r="B116" s="18" t="s">
        <v>3758</v>
      </c>
      <c r="C116" s="18" t="s">
        <v>3759</v>
      </c>
      <c r="D116" s="16" t="n">
        <v>0</v>
      </c>
      <c r="E116" s="18" t="s">
        <v>3255</v>
      </c>
      <c r="F116" s="18" t="s">
        <v>3760</v>
      </c>
      <c r="G116" s="18" t="s">
        <v>3761</v>
      </c>
      <c r="H116" s="16" t="n">
        <v>439389</v>
      </c>
    </row>
    <row r="117" customFormat="false" ht="15" hidden="false" customHeight="false" outlineLevel="0" collapsed="false">
      <c r="A117" s="18" t="s">
        <v>3762</v>
      </c>
      <c r="B117" s="18" t="s">
        <v>3763</v>
      </c>
      <c r="C117" s="18" t="s">
        <v>3764</v>
      </c>
      <c r="D117" s="16" t="n">
        <v>-3</v>
      </c>
      <c r="E117" s="18" t="s">
        <v>3255</v>
      </c>
      <c r="F117" s="18" t="s">
        <v>3765</v>
      </c>
      <c r="G117" s="18" t="s">
        <v>3766</v>
      </c>
      <c r="H117" s="16" t="n">
        <v>643757</v>
      </c>
    </row>
    <row r="118" customFormat="false" ht="15" hidden="false" customHeight="false" outlineLevel="0" collapsed="false">
      <c r="A118" s="18" t="s">
        <v>3767</v>
      </c>
      <c r="B118" s="18" t="s">
        <v>3768</v>
      </c>
      <c r="C118" s="18" t="s">
        <v>3769</v>
      </c>
      <c r="D118" s="16" t="n">
        <v>0</v>
      </c>
      <c r="E118" s="18" t="s">
        <v>3255</v>
      </c>
      <c r="F118" s="18" t="s">
        <v>3770</v>
      </c>
      <c r="G118" s="18" t="s">
        <v>3771</v>
      </c>
      <c r="H118" s="16" t="n">
        <v>439232</v>
      </c>
    </row>
    <row r="119" customFormat="false" ht="15" hidden="false" customHeight="false" outlineLevel="0" collapsed="false">
      <c r="A119" s="18" t="s">
        <v>3772</v>
      </c>
      <c r="B119" s="18" t="s">
        <v>3773</v>
      </c>
      <c r="C119" s="18" t="s">
        <v>3774</v>
      </c>
      <c r="D119" s="16" t="n">
        <v>0</v>
      </c>
      <c r="E119" s="18" t="s">
        <v>3255</v>
      </c>
      <c r="F119" s="18" t="s">
        <v>3775</v>
      </c>
      <c r="G119" s="18" t="s">
        <v>3776</v>
      </c>
      <c r="H119" s="16" t="n">
        <v>99478</v>
      </c>
    </row>
    <row r="120" customFormat="false" ht="15" hidden="false" customHeight="false" outlineLevel="0" collapsed="false">
      <c r="A120" s="18" t="s">
        <v>3777</v>
      </c>
      <c r="B120" s="18" t="s">
        <v>3778</v>
      </c>
      <c r="C120" s="18" t="s">
        <v>3779</v>
      </c>
      <c r="D120" s="16" t="n">
        <v>-1</v>
      </c>
      <c r="E120" s="18" t="s">
        <v>3255</v>
      </c>
      <c r="G120" s="18" t="s">
        <v>3780</v>
      </c>
    </row>
    <row r="121" customFormat="false" ht="15" hidden="false" customHeight="false" outlineLevel="0" collapsed="false">
      <c r="A121" s="18" t="s">
        <v>3781</v>
      </c>
      <c r="B121" s="18" t="s">
        <v>3782</v>
      </c>
      <c r="C121" s="18" t="s">
        <v>3783</v>
      </c>
      <c r="D121" s="16" t="n">
        <v>0</v>
      </c>
      <c r="E121" s="18" t="s">
        <v>3255</v>
      </c>
      <c r="F121" s="18" t="s">
        <v>3784</v>
      </c>
      <c r="G121" s="18" t="s">
        <v>3785</v>
      </c>
      <c r="H121" s="16" t="n">
        <v>190</v>
      </c>
    </row>
    <row r="122" customFormat="false" ht="15" hidden="false" customHeight="false" outlineLevel="0" collapsed="false">
      <c r="A122" s="18" t="s">
        <v>3786</v>
      </c>
      <c r="B122" s="18" t="s">
        <v>3787</v>
      </c>
      <c r="C122" s="18" t="s">
        <v>3788</v>
      </c>
      <c r="D122" s="16" t="n">
        <v>0</v>
      </c>
      <c r="E122" s="18" t="s">
        <v>3255</v>
      </c>
      <c r="F122" s="18" t="s">
        <v>3789</v>
      </c>
      <c r="G122" s="18" t="s">
        <v>3790</v>
      </c>
      <c r="H122" s="16" t="n">
        <v>60961</v>
      </c>
    </row>
    <row r="123" customFormat="false" ht="15" hidden="false" customHeight="false" outlineLevel="0" collapsed="false">
      <c r="A123" s="18" t="s">
        <v>3791</v>
      </c>
      <c r="B123" s="18" t="s">
        <v>3792</v>
      </c>
      <c r="C123" s="18" t="s">
        <v>3793</v>
      </c>
      <c r="D123" s="16" t="n">
        <v>-3</v>
      </c>
      <c r="E123" s="18" t="s">
        <v>3255</v>
      </c>
      <c r="F123" s="18" t="s">
        <v>3794</v>
      </c>
      <c r="G123" s="18" t="s">
        <v>3795</v>
      </c>
      <c r="H123" s="16" t="n">
        <v>6022</v>
      </c>
    </row>
    <row r="124" customFormat="false" ht="15" hidden="false" customHeight="false" outlineLevel="0" collapsed="false">
      <c r="A124" s="18" t="s">
        <v>3796</v>
      </c>
      <c r="B124" s="18" t="s">
        <v>3797</v>
      </c>
      <c r="C124" s="18" t="s">
        <v>3798</v>
      </c>
      <c r="D124" s="16" t="n">
        <v>-2</v>
      </c>
      <c r="E124" s="18" t="s">
        <v>3255</v>
      </c>
      <c r="F124" s="18" t="s">
        <v>3799</v>
      </c>
      <c r="G124" s="18" t="s">
        <v>3800</v>
      </c>
      <c r="H124" s="16" t="n">
        <v>16500</v>
      </c>
    </row>
    <row r="125" customFormat="false" ht="15" hidden="false" customHeight="false" outlineLevel="0" collapsed="false">
      <c r="A125" s="18" t="s">
        <v>3801</v>
      </c>
      <c r="B125" s="18" t="s">
        <v>3802</v>
      </c>
      <c r="C125" s="18" t="s">
        <v>3803</v>
      </c>
      <c r="D125" s="16" t="n">
        <v>-2</v>
      </c>
      <c r="E125" s="18" t="s">
        <v>3255</v>
      </c>
      <c r="F125" s="18" t="s">
        <v>3804</v>
      </c>
      <c r="G125" s="18" t="s">
        <v>3805</v>
      </c>
      <c r="H125" s="16" t="n">
        <v>441006</v>
      </c>
    </row>
    <row r="126" customFormat="false" ht="15" hidden="false" customHeight="false" outlineLevel="0" collapsed="false">
      <c r="A126" s="18" t="s">
        <v>3806</v>
      </c>
      <c r="B126" s="18" t="s">
        <v>3807</v>
      </c>
      <c r="C126" s="18" t="s">
        <v>3803</v>
      </c>
      <c r="D126" s="16" t="n">
        <v>-2</v>
      </c>
      <c r="E126" s="18" t="s">
        <v>3255</v>
      </c>
      <c r="F126" s="18" t="s">
        <v>3808</v>
      </c>
      <c r="G126" s="18" t="s">
        <v>3809</v>
      </c>
      <c r="H126" s="16" t="n">
        <v>441007</v>
      </c>
    </row>
    <row r="127" customFormat="false" ht="15" hidden="false" customHeight="false" outlineLevel="0" collapsed="false">
      <c r="A127" s="18" t="s">
        <v>3810</v>
      </c>
      <c r="B127" s="18" t="s">
        <v>3811</v>
      </c>
      <c r="C127" s="18" t="s">
        <v>3812</v>
      </c>
      <c r="D127" s="16" t="n">
        <v>2</v>
      </c>
      <c r="E127" s="18" t="s">
        <v>3255</v>
      </c>
      <c r="F127" s="18" t="s">
        <v>3813</v>
      </c>
      <c r="G127" s="18" t="s">
        <v>3814</v>
      </c>
      <c r="H127" s="16" t="n">
        <v>199</v>
      </c>
    </row>
    <row r="128" customFormat="false" ht="15" hidden="false" customHeight="false" outlineLevel="0" collapsed="false">
      <c r="A128" s="18" t="s">
        <v>3815</v>
      </c>
      <c r="B128" s="18" t="s">
        <v>3816</v>
      </c>
      <c r="C128" s="18" t="s">
        <v>3817</v>
      </c>
      <c r="D128" s="16" t="n">
        <v>0</v>
      </c>
      <c r="E128" s="18" t="s">
        <v>3255</v>
      </c>
      <c r="F128" s="18" t="s">
        <v>3818</v>
      </c>
      <c r="G128" s="18" t="s">
        <v>3819</v>
      </c>
      <c r="H128" s="16" t="n">
        <v>439155</v>
      </c>
    </row>
    <row r="129" customFormat="false" ht="15" hidden="false" customHeight="false" outlineLevel="0" collapsed="false">
      <c r="A129" s="18" t="s">
        <v>3820</v>
      </c>
      <c r="B129" s="18" t="s">
        <v>3821</v>
      </c>
      <c r="C129" s="18" t="s">
        <v>3822</v>
      </c>
      <c r="D129" s="16" t="n">
        <v>-4</v>
      </c>
      <c r="E129" s="18" t="s">
        <v>3255</v>
      </c>
      <c r="F129" s="18" t="s">
        <v>3823</v>
      </c>
      <c r="G129" s="18" t="s">
        <v>3824</v>
      </c>
      <c r="H129" s="16" t="n">
        <v>121885</v>
      </c>
    </row>
    <row r="130" customFormat="false" ht="15" hidden="false" customHeight="false" outlineLevel="0" collapsed="false">
      <c r="A130" s="18" t="s">
        <v>3825</v>
      </c>
      <c r="B130" s="18" t="s">
        <v>3826</v>
      </c>
      <c r="C130" s="18" t="s">
        <v>3827</v>
      </c>
      <c r="D130" s="16" t="n">
        <v>-2</v>
      </c>
      <c r="E130" s="18" t="s">
        <v>3255</v>
      </c>
      <c r="F130" s="18" t="s">
        <v>3828</v>
      </c>
      <c r="G130" s="18" t="s">
        <v>3829</v>
      </c>
      <c r="H130" s="16" t="n">
        <v>65110</v>
      </c>
    </row>
    <row r="131" customFormat="false" ht="15" hidden="false" customHeight="false" outlineLevel="0" collapsed="false">
      <c r="A131" s="18" t="s">
        <v>3830</v>
      </c>
      <c r="B131" s="18" t="s">
        <v>3831</v>
      </c>
      <c r="C131" s="18" t="s">
        <v>3832</v>
      </c>
      <c r="D131" s="16" t="n">
        <v>-2</v>
      </c>
      <c r="E131" s="18" t="s">
        <v>3255</v>
      </c>
      <c r="F131" s="18" t="s">
        <v>3833</v>
      </c>
      <c r="G131" s="18" t="s">
        <v>3834</v>
      </c>
      <c r="H131" s="16" t="n">
        <v>161500</v>
      </c>
    </row>
    <row r="132" customFormat="false" ht="15" hidden="false" customHeight="false" outlineLevel="0" collapsed="false">
      <c r="A132" s="18" t="s">
        <v>3835</v>
      </c>
      <c r="B132" s="18" t="s">
        <v>3836</v>
      </c>
      <c r="C132" s="18" t="s">
        <v>3837</v>
      </c>
      <c r="D132" s="16" t="n">
        <v>-2</v>
      </c>
      <c r="E132" s="18" t="s">
        <v>3255</v>
      </c>
      <c r="F132" s="18" t="s">
        <v>3838</v>
      </c>
      <c r="G132" s="18" t="s">
        <v>3839</v>
      </c>
      <c r="H132" s="16" t="n">
        <v>51</v>
      </c>
    </row>
    <row r="133" customFormat="false" ht="15" hidden="false" customHeight="false" outlineLevel="0" collapsed="false">
      <c r="A133" s="18" t="s">
        <v>3840</v>
      </c>
      <c r="B133" s="18" t="s">
        <v>3841</v>
      </c>
      <c r="C133" s="18" t="s">
        <v>3842</v>
      </c>
      <c r="D133" s="16" t="n">
        <v>0</v>
      </c>
      <c r="E133" s="18" t="s">
        <v>3255</v>
      </c>
      <c r="F133" s="18" t="s">
        <v>3843</v>
      </c>
      <c r="G133" s="18" t="s">
        <v>3844</v>
      </c>
      <c r="H133" s="16" t="n">
        <v>239</v>
      </c>
    </row>
    <row r="134" customFormat="false" ht="15" hidden="false" customHeight="false" outlineLevel="0" collapsed="false">
      <c r="A134" s="18" t="s">
        <v>3845</v>
      </c>
      <c r="B134" s="18" t="s">
        <v>3846</v>
      </c>
      <c r="C134" s="18" t="s">
        <v>3842</v>
      </c>
      <c r="D134" s="16" t="n">
        <v>0</v>
      </c>
      <c r="E134" s="18" t="s">
        <v>3255</v>
      </c>
      <c r="F134" s="18" t="s">
        <v>3847</v>
      </c>
      <c r="G134" s="18" t="s">
        <v>3848</v>
      </c>
      <c r="H134" s="16" t="n">
        <v>71080</v>
      </c>
    </row>
    <row r="135" customFormat="false" ht="15" hidden="false" customHeight="false" outlineLevel="0" collapsed="false">
      <c r="A135" s="18" t="s">
        <v>3849</v>
      </c>
      <c r="B135" s="18" t="s">
        <v>3850</v>
      </c>
      <c r="C135" s="18" t="s">
        <v>3842</v>
      </c>
      <c r="D135" s="16" t="n">
        <v>0</v>
      </c>
      <c r="E135" s="18" t="s">
        <v>3255</v>
      </c>
      <c r="F135" s="18" t="s">
        <v>3851</v>
      </c>
      <c r="G135" s="18" t="s">
        <v>3852</v>
      </c>
      <c r="H135" s="16" t="n">
        <v>5950</v>
      </c>
    </row>
    <row r="136" customFormat="false" ht="15" hidden="false" customHeight="false" outlineLevel="0" collapsed="false">
      <c r="A136" s="18" t="s">
        <v>3853</v>
      </c>
      <c r="B136" s="18" t="s">
        <v>3854</v>
      </c>
      <c r="C136" s="18" t="s">
        <v>3855</v>
      </c>
      <c r="D136" s="16" t="n">
        <v>0</v>
      </c>
      <c r="E136" s="18" t="s">
        <v>3255</v>
      </c>
      <c r="F136" s="18" t="s">
        <v>3856</v>
      </c>
      <c r="G136" s="18" t="s">
        <v>3857</v>
      </c>
      <c r="H136" s="16" t="n">
        <v>5460362</v>
      </c>
    </row>
    <row r="137" customFormat="false" ht="15" hidden="false" customHeight="false" outlineLevel="0" collapsed="false">
      <c r="A137" s="18" t="s">
        <v>3858</v>
      </c>
      <c r="B137" s="18" t="s">
        <v>3859</v>
      </c>
      <c r="C137" s="18" t="s">
        <v>3860</v>
      </c>
      <c r="D137" s="16" t="n">
        <v>-1</v>
      </c>
      <c r="E137" s="18" t="s">
        <v>3255</v>
      </c>
      <c r="F137" s="18" t="s">
        <v>3861</v>
      </c>
      <c r="G137" s="18" t="s">
        <v>3862</v>
      </c>
      <c r="H137" s="16" t="n">
        <v>440878</v>
      </c>
    </row>
    <row r="138" customFormat="false" ht="15" hidden="false" customHeight="false" outlineLevel="0" collapsed="false">
      <c r="A138" s="18" t="s">
        <v>3863</v>
      </c>
      <c r="B138" s="18" t="s">
        <v>3864</v>
      </c>
      <c r="C138" s="18" t="s">
        <v>3865</v>
      </c>
      <c r="D138" s="16" t="n">
        <v>1</v>
      </c>
      <c r="E138" s="18" t="s">
        <v>3255</v>
      </c>
      <c r="F138" s="18" t="s">
        <v>3866</v>
      </c>
      <c r="G138" s="18" t="s">
        <v>3867</v>
      </c>
      <c r="H138" s="16" t="n">
        <v>34756</v>
      </c>
    </row>
    <row r="139" customFormat="false" ht="15" hidden="false" customHeight="false" outlineLevel="0" collapsed="false">
      <c r="A139" s="18" t="s">
        <v>3868</v>
      </c>
      <c r="B139" s="18" t="s">
        <v>3869</v>
      </c>
      <c r="C139" s="18" t="s">
        <v>3870</v>
      </c>
      <c r="D139" s="16" t="n">
        <v>2</v>
      </c>
      <c r="E139" s="18" t="s">
        <v>3255</v>
      </c>
      <c r="F139" s="18" t="s">
        <v>3871</v>
      </c>
      <c r="G139" s="18" t="s">
        <v>3872</v>
      </c>
      <c r="H139" s="16" t="n">
        <v>439415</v>
      </c>
    </row>
    <row r="140" customFormat="false" ht="15" hidden="false" customHeight="false" outlineLevel="0" collapsed="false">
      <c r="A140" s="18" t="s">
        <v>3873</v>
      </c>
      <c r="B140" s="18" t="s">
        <v>3874</v>
      </c>
      <c r="C140" s="18" t="s">
        <v>3875</v>
      </c>
      <c r="D140" s="16" t="n">
        <v>0</v>
      </c>
      <c r="E140" s="18" t="s">
        <v>3255</v>
      </c>
      <c r="F140" s="18" t="s">
        <v>3876</v>
      </c>
      <c r="G140" s="18" t="s">
        <v>3877</v>
      </c>
      <c r="H140" s="16" t="n">
        <v>440336</v>
      </c>
    </row>
    <row r="141" customFormat="false" ht="15" hidden="false" customHeight="false" outlineLevel="0" collapsed="false">
      <c r="A141" s="18" t="s">
        <v>3878</v>
      </c>
      <c r="B141" s="18" t="s">
        <v>3879</v>
      </c>
      <c r="C141" s="18" t="s">
        <v>3616</v>
      </c>
      <c r="D141" s="16" t="n">
        <v>-2</v>
      </c>
      <c r="E141" s="18" t="s">
        <v>3255</v>
      </c>
      <c r="F141" s="18" t="s">
        <v>3880</v>
      </c>
      <c r="G141" s="18" t="s">
        <v>3881</v>
      </c>
      <c r="H141" s="16" t="n">
        <v>441260</v>
      </c>
    </row>
    <row r="142" customFormat="false" ht="15" hidden="false" customHeight="false" outlineLevel="0" collapsed="false">
      <c r="A142" s="18" t="s">
        <v>3882</v>
      </c>
      <c r="B142" s="18" t="s">
        <v>3883</v>
      </c>
      <c r="C142" s="18" t="s">
        <v>3884</v>
      </c>
      <c r="D142" s="16" t="n">
        <v>-1</v>
      </c>
      <c r="E142" s="18" t="s">
        <v>3255</v>
      </c>
      <c r="F142" s="18" t="s">
        <v>3885</v>
      </c>
      <c r="G142" s="18" t="s">
        <v>3886</v>
      </c>
      <c r="H142" s="16" t="n">
        <v>5</v>
      </c>
    </row>
    <row r="143" customFormat="false" ht="15" hidden="false" customHeight="false" outlineLevel="0" collapsed="false">
      <c r="A143" s="18" t="s">
        <v>3887</v>
      </c>
      <c r="B143" s="18" t="s">
        <v>3888</v>
      </c>
      <c r="C143" s="18" t="s">
        <v>3889</v>
      </c>
      <c r="D143" s="16" t="n">
        <v>-2</v>
      </c>
      <c r="E143" s="18" t="s">
        <v>3255</v>
      </c>
      <c r="F143" s="18" t="s">
        <v>3890</v>
      </c>
      <c r="G143" s="18" t="s">
        <v>3891</v>
      </c>
      <c r="H143" s="16" t="n">
        <v>6083</v>
      </c>
    </row>
    <row r="144" customFormat="false" ht="15" hidden="false" customHeight="false" outlineLevel="0" collapsed="false">
      <c r="A144" s="18" t="s">
        <v>3892</v>
      </c>
      <c r="B144" s="18" t="s">
        <v>3893</v>
      </c>
      <c r="C144" s="18" t="s">
        <v>3564</v>
      </c>
      <c r="D144" s="16" t="n">
        <v>-1</v>
      </c>
      <c r="E144" s="18" t="s">
        <v>3255</v>
      </c>
      <c r="F144" s="18" t="s">
        <v>3894</v>
      </c>
      <c r="G144" s="18" t="s">
        <v>3895</v>
      </c>
      <c r="H144" s="16" t="n">
        <v>227</v>
      </c>
    </row>
    <row r="145" customFormat="false" ht="15" hidden="false" customHeight="false" outlineLevel="0" collapsed="false">
      <c r="A145" s="18" t="s">
        <v>3896</v>
      </c>
      <c r="B145" s="18" t="s">
        <v>3897</v>
      </c>
      <c r="C145" s="18" t="s">
        <v>3898</v>
      </c>
      <c r="D145" s="16" t="n">
        <v>0</v>
      </c>
      <c r="E145" s="18" t="s">
        <v>3255</v>
      </c>
      <c r="G145" s="18" t="s">
        <v>3899</v>
      </c>
    </row>
    <row r="146" customFormat="false" ht="15" hidden="false" customHeight="false" outlineLevel="0" collapsed="false">
      <c r="A146" s="18" t="s">
        <v>3900</v>
      </c>
      <c r="B146" s="18" t="s">
        <v>3901</v>
      </c>
      <c r="C146" s="18" t="s">
        <v>3902</v>
      </c>
      <c r="D146" s="16" t="n">
        <v>-2</v>
      </c>
      <c r="E146" s="18" t="s">
        <v>3255</v>
      </c>
      <c r="F146" s="18" t="s">
        <v>3903</v>
      </c>
      <c r="G146" s="18" t="s">
        <v>3904</v>
      </c>
      <c r="H146" s="16" t="n">
        <v>10238</v>
      </c>
    </row>
    <row r="147" customFormat="false" ht="15" hidden="false" customHeight="false" outlineLevel="0" collapsed="false">
      <c r="A147" s="18" t="s">
        <v>3905</v>
      </c>
      <c r="B147" s="18" t="s">
        <v>3906</v>
      </c>
      <c r="C147" s="18" t="s">
        <v>3907</v>
      </c>
      <c r="D147" s="16" t="n">
        <v>-2</v>
      </c>
      <c r="E147" s="18" t="s">
        <v>3255</v>
      </c>
      <c r="F147" s="18" t="s">
        <v>3908</v>
      </c>
      <c r="G147" s="18" t="s">
        <v>3909</v>
      </c>
      <c r="H147" s="16" t="n">
        <v>230</v>
      </c>
    </row>
    <row r="148" customFormat="false" ht="15" hidden="false" customHeight="false" outlineLevel="0" collapsed="false">
      <c r="A148" s="18" t="s">
        <v>3910</v>
      </c>
      <c r="B148" s="18" t="s">
        <v>3911</v>
      </c>
      <c r="C148" s="18" t="s">
        <v>3912</v>
      </c>
      <c r="D148" s="16" t="n">
        <v>-1</v>
      </c>
      <c r="E148" s="18" t="s">
        <v>3255</v>
      </c>
    </row>
    <row r="149" customFormat="false" ht="15" hidden="false" customHeight="false" outlineLevel="0" collapsed="false">
      <c r="A149" s="18" t="s">
        <v>3913</v>
      </c>
      <c r="B149" s="18" t="s">
        <v>3914</v>
      </c>
      <c r="C149" s="18" t="s">
        <v>3915</v>
      </c>
      <c r="D149" s="16" t="n">
        <v>1</v>
      </c>
      <c r="E149" s="18" t="s">
        <v>3255</v>
      </c>
      <c r="F149" s="18" t="s">
        <v>3916</v>
      </c>
      <c r="G149" s="18" t="s">
        <v>3917</v>
      </c>
      <c r="H149" s="16" t="n">
        <v>6322</v>
      </c>
    </row>
    <row r="150" customFormat="false" ht="15" hidden="false" customHeight="false" outlineLevel="0" collapsed="false">
      <c r="A150" s="18" t="s">
        <v>3918</v>
      </c>
      <c r="B150" s="18" t="s">
        <v>3919</v>
      </c>
      <c r="C150" s="18" t="s">
        <v>3920</v>
      </c>
      <c r="D150" s="16" t="n">
        <v>-1</v>
      </c>
      <c r="E150" s="18" t="s">
        <v>3255</v>
      </c>
      <c r="F150" s="18" t="s">
        <v>3921</v>
      </c>
      <c r="G150" s="18" t="s">
        <v>3922</v>
      </c>
      <c r="H150" s="16" t="n">
        <v>439998</v>
      </c>
    </row>
    <row r="151" customFormat="false" ht="15" hidden="false" customHeight="false" outlineLevel="0" collapsed="false">
      <c r="A151" s="18" t="s">
        <v>3923</v>
      </c>
      <c r="B151" s="18" t="s">
        <v>3924</v>
      </c>
      <c r="C151" s="18" t="s">
        <v>3925</v>
      </c>
      <c r="D151" s="16" t="n">
        <v>0</v>
      </c>
      <c r="E151" s="18" t="s">
        <v>3255</v>
      </c>
      <c r="F151" s="18" t="s">
        <v>3926</v>
      </c>
      <c r="G151" s="18" t="s">
        <v>3927</v>
      </c>
      <c r="H151" s="16" t="n">
        <v>6267</v>
      </c>
    </row>
    <row r="152" customFormat="false" ht="15" hidden="false" customHeight="false" outlineLevel="0" collapsed="false">
      <c r="A152" s="18" t="s">
        <v>3928</v>
      </c>
      <c r="B152" s="18" t="s">
        <v>3929</v>
      </c>
      <c r="C152" s="18" t="s">
        <v>3930</v>
      </c>
      <c r="D152" s="16" t="n">
        <v>-1</v>
      </c>
      <c r="E152" s="18" t="s">
        <v>3255</v>
      </c>
      <c r="F152" s="18" t="s">
        <v>3931</v>
      </c>
      <c r="G152" s="18" t="s">
        <v>3932</v>
      </c>
      <c r="H152" s="16" t="n">
        <v>5960</v>
      </c>
    </row>
    <row r="153" customFormat="false" ht="15" hidden="false" customHeight="false" outlineLevel="0" collapsed="false">
      <c r="A153" s="18" t="s">
        <v>3933</v>
      </c>
      <c r="B153" s="18" t="s">
        <v>3934</v>
      </c>
      <c r="C153" s="18" t="s">
        <v>3935</v>
      </c>
      <c r="D153" s="16" t="n">
        <v>0</v>
      </c>
      <c r="E153" s="18" t="s">
        <v>3255</v>
      </c>
      <c r="F153" s="18" t="s">
        <v>3936</v>
      </c>
      <c r="G153" s="18" t="s">
        <v>3937</v>
      </c>
      <c r="H153" s="16" t="n">
        <v>439235</v>
      </c>
    </row>
    <row r="154" customFormat="false" ht="15" hidden="false" customHeight="false" outlineLevel="0" collapsed="false">
      <c r="A154" s="18" t="s">
        <v>3938</v>
      </c>
      <c r="B154" s="18" t="s">
        <v>3939</v>
      </c>
      <c r="C154" s="18" t="s">
        <v>3940</v>
      </c>
      <c r="D154" s="16" t="n">
        <v>-4</v>
      </c>
      <c r="E154" s="18" t="s">
        <v>3255</v>
      </c>
      <c r="F154" s="18" t="s">
        <v>3941</v>
      </c>
      <c r="G154" s="18" t="s">
        <v>3942</v>
      </c>
      <c r="H154" s="16" t="n">
        <v>5957</v>
      </c>
    </row>
    <row r="155" customFormat="false" ht="15" hidden="false" customHeight="false" outlineLevel="0" collapsed="false">
      <c r="A155" s="18" t="s">
        <v>3943</v>
      </c>
      <c r="B155" s="18" t="s">
        <v>3944</v>
      </c>
      <c r="D155" s="16" t="n">
        <v>0</v>
      </c>
      <c r="E155" s="18" t="s">
        <v>3255</v>
      </c>
      <c r="G155" s="18" t="s">
        <v>3945</v>
      </c>
    </row>
    <row r="156" customFormat="false" ht="15" hidden="false" customHeight="false" outlineLevel="0" collapsed="false">
      <c r="A156" s="18" t="s">
        <v>3946</v>
      </c>
      <c r="B156" s="18" t="s">
        <v>3947</v>
      </c>
      <c r="D156" s="16" t="n">
        <v>0</v>
      </c>
      <c r="E156" s="18" t="s">
        <v>3255</v>
      </c>
    </row>
    <row r="157" customFormat="false" ht="15" hidden="false" customHeight="false" outlineLevel="0" collapsed="false">
      <c r="A157" s="18" t="s">
        <v>3948</v>
      </c>
      <c r="B157" s="18" t="s">
        <v>3949</v>
      </c>
      <c r="D157" s="16" t="n">
        <v>0</v>
      </c>
      <c r="E157" s="18" t="s">
        <v>3255</v>
      </c>
    </row>
    <row r="158" customFormat="false" ht="15" hidden="false" customHeight="false" outlineLevel="0" collapsed="false">
      <c r="A158" s="18" t="s">
        <v>3950</v>
      </c>
      <c r="B158" s="18" t="s">
        <v>3951</v>
      </c>
      <c r="C158" s="18" t="s">
        <v>3952</v>
      </c>
      <c r="D158" s="16" t="n">
        <v>-2</v>
      </c>
      <c r="E158" s="18" t="s">
        <v>3255</v>
      </c>
    </row>
    <row r="159" customFormat="false" ht="15" hidden="false" customHeight="false" outlineLevel="0" collapsed="false">
      <c r="A159" s="18" t="s">
        <v>3953</v>
      </c>
      <c r="B159" s="18" t="s">
        <v>3954</v>
      </c>
      <c r="D159" s="16" t="n">
        <v>0</v>
      </c>
      <c r="E159" s="18" t="s">
        <v>3255</v>
      </c>
      <c r="H159" s="16" t="s">
        <v>3955</v>
      </c>
    </row>
    <row r="160" customFormat="false" ht="15" hidden="false" customHeight="false" outlineLevel="0" collapsed="false">
      <c r="A160" s="18" t="s">
        <v>3956</v>
      </c>
      <c r="B160" s="18" t="s">
        <v>3954</v>
      </c>
      <c r="D160" s="16" t="n">
        <v>0</v>
      </c>
      <c r="E160" s="18" t="s">
        <v>3592</v>
      </c>
      <c r="H160" s="16" t="s">
        <v>3955</v>
      </c>
    </row>
    <row r="161" customFormat="false" ht="15" hidden="false" customHeight="false" outlineLevel="0" collapsed="false">
      <c r="A161" s="18" t="s">
        <v>3957</v>
      </c>
      <c r="B161" s="18" t="s">
        <v>3954</v>
      </c>
      <c r="D161" s="16" t="n">
        <v>0</v>
      </c>
      <c r="E161" s="18" t="s">
        <v>3594</v>
      </c>
      <c r="H161" s="16" t="s">
        <v>3955</v>
      </c>
    </row>
    <row r="162" customFormat="false" ht="15" hidden="false" customHeight="false" outlineLevel="0" collapsed="false">
      <c r="A162" s="18" t="s">
        <v>3958</v>
      </c>
      <c r="B162" s="18" t="s">
        <v>3959</v>
      </c>
      <c r="C162" s="18" t="s">
        <v>3960</v>
      </c>
      <c r="D162" s="16" t="n">
        <v>-1</v>
      </c>
      <c r="E162" s="18" t="s">
        <v>3255</v>
      </c>
      <c r="F162" s="18" t="s">
        <v>3961</v>
      </c>
      <c r="G162" s="18" t="s">
        <v>3962</v>
      </c>
      <c r="H162" s="16" t="n">
        <v>171548</v>
      </c>
    </row>
    <row r="163" customFormat="false" ht="15" hidden="false" customHeight="false" outlineLevel="0" collapsed="false">
      <c r="A163" s="18" t="s">
        <v>3963</v>
      </c>
      <c r="B163" s="18" t="s">
        <v>3964</v>
      </c>
      <c r="C163" s="18" t="s">
        <v>3965</v>
      </c>
      <c r="D163" s="16" t="n">
        <v>-1</v>
      </c>
      <c r="E163" s="18" t="s">
        <v>3255</v>
      </c>
      <c r="G163" s="18" t="s">
        <v>3966</v>
      </c>
    </row>
    <row r="164" customFormat="false" ht="15" hidden="false" customHeight="false" outlineLevel="0" collapsed="false">
      <c r="A164" s="18" t="s">
        <v>3967</v>
      </c>
      <c r="B164" s="18" t="s">
        <v>3968</v>
      </c>
      <c r="C164" s="18" t="s">
        <v>3969</v>
      </c>
      <c r="D164" s="16" t="n">
        <v>-1</v>
      </c>
      <c r="E164" s="18" t="s">
        <v>3255</v>
      </c>
      <c r="G164" s="18" t="s">
        <v>3970</v>
      </c>
    </row>
    <row r="165" customFormat="false" ht="15" hidden="false" customHeight="false" outlineLevel="0" collapsed="false">
      <c r="A165" s="18" t="s">
        <v>3971</v>
      </c>
      <c r="B165" s="18" t="s">
        <v>3972</v>
      </c>
      <c r="C165" s="18" t="s">
        <v>3413</v>
      </c>
      <c r="D165" s="16" t="n">
        <v>0</v>
      </c>
      <c r="E165" s="18" t="s">
        <v>3255</v>
      </c>
    </row>
    <row r="166" customFormat="false" ht="15" hidden="false" customHeight="false" outlineLevel="0" collapsed="false">
      <c r="A166" s="18" t="s">
        <v>3973</v>
      </c>
      <c r="B166" s="18" t="s">
        <v>3974</v>
      </c>
      <c r="C166" s="18" t="s">
        <v>3975</v>
      </c>
      <c r="D166" s="16" t="n">
        <v>-1</v>
      </c>
      <c r="E166" s="18" t="s">
        <v>3255</v>
      </c>
    </row>
    <row r="167" customFormat="false" ht="15" hidden="false" customHeight="false" outlineLevel="0" collapsed="false">
      <c r="A167" s="18" t="s">
        <v>3976</v>
      </c>
      <c r="B167" s="18" t="s">
        <v>3977</v>
      </c>
      <c r="C167" s="18" t="s">
        <v>3978</v>
      </c>
      <c r="D167" s="16" t="n">
        <v>-1</v>
      </c>
      <c r="E167" s="18" t="s">
        <v>3255</v>
      </c>
    </row>
    <row r="168" customFormat="false" ht="15" hidden="false" customHeight="false" outlineLevel="0" collapsed="false">
      <c r="A168" s="18" t="s">
        <v>3979</v>
      </c>
      <c r="B168" s="18" t="s">
        <v>3980</v>
      </c>
      <c r="C168" s="18" t="s">
        <v>3981</v>
      </c>
      <c r="D168" s="16" t="n">
        <v>-1</v>
      </c>
      <c r="E168" s="18" t="s">
        <v>3255</v>
      </c>
    </row>
    <row r="169" customFormat="false" ht="15" hidden="false" customHeight="false" outlineLevel="0" collapsed="false">
      <c r="A169" s="18" t="s">
        <v>3982</v>
      </c>
      <c r="B169" s="18" t="s">
        <v>3983</v>
      </c>
      <c r="C169" s="18" t="s">
        <v>3984</v>
      </c>
      <c r="D169" s="16" t="n">
        <v>-1</v>
      </c>
      <c r="E169" s="18" t="s">
        <v>3255</v>
      </c>
    </row>
    <row r="170" customFormat="false" ht="15" hidden="false" customHeight="false" outlineLevel="0" collapsed="false">
      <c r="A170" s="18" t="s">
        <v>3985</v>
      </c>
      <c r="B170" s="18" t="s">
        <v>3986</v>
      </c>
      <c r="C170" s="18" t="s">
        <v>3986</v>
      </c>
      <c r="D170" s="16" t="n">
        <v>2</v>
      </c>
      <c r="E170" s="18" t="s">
        <v>3255</v>
      </c>
      <c r="F170" s="18" t="s">
        <v>3987</v>
      </c>
      <c r="G170" s="18" t="s">
        <v>3988</v>
      </c>
      <c r="H170" s="16" t="n">
        <v>271</v>
      </c>
    </row>
    <row r="171" customFormat="false" ht="15" hidden="false" customHeight="false" outlineLevel="0" collapsed="false">
      <c r="A171" s="18" t="s">
        <v>3989</v>
      </c>
      <c r="B171" s="18" t="s">
        <v>3986</v>
      </c>
      <c r="C171" s="18" t="s">
        <v>3986</v>
      </c>
      <c r="D171" s="16" t="n">
        <v>2</v>
      </c>
      <c r="E171" s="18" t="s">
        <v>3592</v>
      </c>
      <c r="F171" s="18" t="s">
        <v>3987</v>
      </c>
      <c r="G171" s="18" t="s">
        <v>3988</v>
      </c>
      <c r="H171" s="16" t="n">
        <v>271</v>
      </c>
    </row>
    <row r="172" customFormat="false" ht="15" hidden="false" customHeight="false" outlineLevel="0" collapsed="false">
      <c r="A172" s="18" t="s">
        <v>3990</v>
      </c>
      <c r="B172" s="18" t="s">
        <v>3986</v>
      </c>
      <c r="C172" s="18" t="s">
        <v>3986</v>
      </c>
      <c r="D172" s="16" t="n">
        <v>2</v>
      </c>
      <c r="E172" s="18" t="s">
        <v>3594</v>
      </c>
      <c r="F172" s="18" t="s">
        <v>3987</v>
      </c>
      <c r="G172" s="18" t="s">
        <v>3988</v>
      </c>
      <c r="H172" s="16" t="n">
        <v>271</v>
      </c>
    </row>
    <row r="173" customFormat="false" ht="15" hidden="false" customHeight="false" outlineLevel="0" collapsed="false">
      <c r="A173" s="18" t="s">
        <v>3991</v>
      </c>
      <c r="B173" s="18" t="s">
        <v>3992</v>
      </c>
      <c r="C173" s="18" t="s">
        <v>3993</v>
      </c>
      <c r="D173" s="16" t="n">
        <v>-2</v>
      </c>
      <c r="E173" s="18" t="s">
        <v>3255</v>
      </c>
      <c r="F173" s="18" t="s">
        <v>3994</v>
      </c>
      <c r="G173" s="18" t="s">
        <v>3995</v>
      </c>
      <c r="H173" s="16" t="n">
        <v>93072</v>
      </c>
    </row>
    <row r="174" customFormat="false" ht="15" hidden="false" customHeight="false" outlineLevel="0" collapsed="false">
      <c r="A174" s="18" t="s">
        <v>3996</v>
      </c>
      <c r="B174" s="18" t="s">
        <v>3997</v>
      </c>
      <c r="C174" s="18" t="s">
        <v>3998</v>
      </c>
      <c r="D174" s="16" t="n">
        <v>-2</v>
      </c>
      <c r="E174" s="18" t="s">
        <v>3255</v>
      </c>
      <c r="F174" s="18" t="s">
        <v>3999</v>
      </c>
      <c r="G174" s="18" t="s">
        <v>4000</v>
      </c>
      <c r="H174" s="16" t="n">
        <v>278</v>
      </c>
    </row>
    <row r="175" customFormat="false" ht="15" hidden="false" customHeight="false" outlineLevel="0" collapsed="false">
      <c r="A175" s="18" t="s">
        <v>4001</v>
      </c>
      <c r="B175" s="18" t="s">
        <v>4002</v>
      </c>
      <c r="C175" s="18" t="s">
        <v>4003</v>
      </c>
      <c r="D175" s="16" t="n">
        <v>-3</v>
      </c>
      <c r="E175" s="18" t="s">
        <v>3255</v>
      </c>
      <c r="F175" s="18" t="s">
        <v>4004</v>
      </c>
      <c r="G175" s="18" t="s">
        <v>4005</v>
      </c>
      <c r="H175" s="16" t="n">
        <v>6132</v>
      </c>
    </row>
    <row r="176" customFormat="false" ht="15" hidden="false" customHeight="false" outlineLevel="0" collapsed="false">
      <c r="A176" s="18" t="s">
        <v>4006</v>
      </c>
      <c r="B176" s="18" t="s">
        <v>4007</v>
      </c>
      <c r="D176" s="16" t="n">
        <v>0</v>
      </c>
      <c r="E176" s="18" t="s">
        <v>3255</v>
      </c>
    </row>
    <row r="177" customFormat="false" ht="15" hidden="false" customHeight="false" outlineLevel="0" collapsed="false">
      <c r="A177" s="18" t="s">
        <v>4008</v>
      </c>
      <c r="B177" s="18" t="s">
        <v>4009</v>
      </c>
      <c r="C177" s="18" t="s">
        <v>4010</v>
      </c>
      <c r="D177" s="16" t="n">
        <v>0</v>
      </c>
      <c r="E177" s="18" t="s">
        <v>3255</v>
      </c>
      <c r="F177" s="18" t="s">
        <v>4011</v>
      </c>
      <c r="G177" s="18" t="s">
        <v>4012</v>
      </c>
      <c r="H177" s="16" t="n">
        <v>439498</v>
      </c>
    </row>
    <row r="178" customFormat="false" ht="15" hidden="false" customHeight="false" outlineLevel="0" collapsed="false">
      <c r="A178" s="18" t="s">
        <v>4013</v>
      </c>
      <c r="B178" s="18" t="s">
        <v>4014</v>
      </c>
      <c r="C178" s="18" t="s">
        <v>4015</v>
      </c>
      <c r="D178" s="16" t="n">
        <v>0</v>
      </c>
      <c r="E178" s="18" t="s">
        <v>3255</v>
      </c>
    </row>
    <row r="179" customFormat="false" ht="15" hidden="false" customHeight="false" outlineLevel="0" collapsed="false">
      <c r="A179" s="18" t="s">
        <v>4016</v>
      </c>
      <c r="B179" s="18" t="s">
        <v>4017</v>
      </c>
      <c r="C179" s="18" t="s">
        <v>4018</v>
      </c>
      <c r="D179" s="16" t="n">
        <v>-2</v>
      </c>
      <c r="E179" s="18" t="s">
        <v>3255</v>
      </c>
      <c r="F179" s="18" t="s">
        <v>4019</v>
      </c>
      <c r="G179" s="18" t="s">
        <v>4020</v>
      </c>
      <c r="H179" s="16" t="n">
        <v>12039</v>
      </c>
    </row>
    <row r="180" customFormat="false" ht="15" hidden="false" customHeight="false" outlineLevel="0" collapsed="false">
      <c r="A180" s="18" t="s">
        <v>4021</v>
      </c>
      <c r="B180" s="18" t="s">
        <v>4022</v>
      </c>
      <c r="C180" s="18" t="s">
        <v>3505</v>
      </c>
      <c r="D180" s="16" t="n">
        <v>-1</v>
      </c>
      <c r="E180" s="18" t="s">
        <v>3255</v>
      </c>
    </row>
    <row r="181" customFormat="false" ht="15" hidden="false" customHeight="false" outlineLevel="0" collapsed="false">
      <c r="A181" s="18" t="s">
        <v>4023</v>
      </c>
      <c r="B181" s="18" t="s">
        <v>4024</v>
      </c>
      <c r="C181" s="18" t="s">
        <v>3529</v>
      </c>
      <c r="D181" s="16" t="n">
        <v>-1</v>
      </c>
      <c r="E181" s="18" t="s">
        <v>3255</v>
      </c>
    </row>
    <row r="182" customFormat="false" ht="15" hidden="false" customHeight="false" outlineLevel="0" collapsed="false">
      <c r="A182" s="18" t="s">
        <v>4025</v>
      </c>
      <c r="B182" s="18" t="s">
        <v>4026</v>
      </c>
      <c r="C182" s="18" t="s">
        <v>3525</v>
      </c>
      <c r="D182" s="16" t="n">
        <v>-1</v>
      </c>
      <c r="E182" s="18" t="s">
        <v>3255</v>
      </c>
    </row>
    <row r="183" customFormat="false" ht="15" hidden="false" customHeight="false" outlineLevel="0" collapsed="false">
      <c r="A183" s="18" t="s">
        <v>4027</v>
      </c>
      <c r="B183" s="18" t="s">
        <v>4028</v>
      </c>
      <c r="C183" s="18" t="s">
        <v>3517</v>
      </c>
      <c r="D183" s="16" t="n">
        <v>-1</v>
      </c>
      <c r="E183" s="18" t="s">
        <v>3255</v>
      </c>
    </row>
    <row r="184" customFormat="false" ht="15" hidden="false" customHeight="false" outlineLevel="0" collapsed="false">
      <c r="A184" s="18" t="s">
        <v>4029</v>
      </c>
      <c r="B184" s="18" t="s">
        <v>4030</v>
      </c>
      <c r="C184" s="18" t="s">
        <v>4031</v>
      </c>
      <c r="D184" s="16" t="n">
        <v>-3</v>
      </c>
      <c r="E184" s="18" t="s">
        <v>3255</v>
      </c>
      <c r="F184" s="18" t="s">
        <v>4032</v>
      </c>
      <c r="G184" s="18" t="s">
        <v>4033</v>
      </c>
      <c r="H184" s="16" t="n">
        <v>311</v>
      </c>
    </row>
    <row r="185" customFormat="false" ht="15" hidden="false" customHeight="false" outlineLevel="0" collapsed="false">
      <c r="A185" s="18" t="s">
        <v>4034</v>
      </c>
      <c r="B185" s="18" t="s">
        <v>4035</v>
      </c>
      <c r="C185" s="18" t="s">
        <v>4036</v>
      </c>
      <c r="D185" s="16" t="n">
        <v>0</v>
      </c>
      <c r="E185" s="18" t="s">
        <v>3255</v>
      </c>
      <c r="F185" s="18" t="s">
        <v>4037</v>
      </c>
      <c r="G185" s="18" t="s">
        <v>4038</v>
      </c>
      <c r="H185" s="16" t="n">
        <v>9750</v>
      </c>
    </row>
    <row r="186" customFormat="false" ht="15" hidden="false" customHeight="false" outlineLevel="0" collapsed="false">
      <c r="A186" s="18" t="s">
        <v>4039</v>
      </c>
      <c r="B186" s="18" t="s">
        <v>4040</v>
      </c>
      <c r="C186" s="18" t="s">
        <v>4041</v>
      </c>
      <c r="D186" s="16" t="n">
        <v>-2</v>
      </c>
      <c r="E186" s="18" t="s">
        <v>3255</v>
      </c>
      <c r="F186" s="18" t="s">
        <v>4042</v>
      </c>
      <c r="G186" s="18" t="s">
        <v>4043</v>
      </c>
      <c r="H186" s="16" t="n">
        <v>440230</v>
      </c>
    </row>
    <row r="187" customFormat="false" ht="15" hidden="false" customHeight="false" outlineLevel="0" collapsed="false">
      <c r="A187" s="18" t="s">
        <v>4044</v>
      </c>
      <c r="B187" s="18" t="s">
        <v>4045</v>
      </c>
      <c r="C187" s="18" t="s">
        <v>4046</v>
      </c>
      <c r="D187" s="16" t="n">
        <v>-2</v>
      </c>
      <c r="E187" s="18" t="s">
        <v>3255</v>
      </c>
      <c r="F187" s="18" t="s">
        <v>4047</v>
      </c>
      <c r="G187" s="18" t="s">
        <v>4048</v>
      </c>
    </row>
    <row r="188" customFormat="false" ht="15" hidden="false" customHeight="false" outlineLevel="0" collapsed="false">
      <c r="A188" s="18" t="s">
        <v>4049</v>
      </c>
      <c r="B188" s="18" t="s">
        <v>4050</v>
      </c>
      <c r="C188" s="18" t="s">
        <v>4051</v>
      </c>
      <c r="D188" s="16" t="n">
        <v>-2</v>
      </c>
      <c r="E188" s="18" t="s">
        <v>3255</v>
      </c>
      <c r="F188" s="18" t="s">
        <v>4052</v>
      </c>
      <c r="G188" s="18" t="s">
        <v>4053</v>
      </c>
      <c r="H188" s="16" t="n">
        <v>6131</v>
      </c>
    </row>
    <row r="189" customFormat="false" ht="15" hidden="false" customHeight="false" outlineLevel="0" collapsed="false">
      <c r="A189" s="18" t="s">
        <v>4054</v>
      </c>
      <c r="B189" s="18" t="s">
        <v>4055</v>
      </c>
      <c r="C189" s="18" t="s">
        <v>4055</v>
      </c>
      <c r="D189" s="16" t="n">
        <v>0</v>
      </c>
      <c r="E189" s="18" t="s">
        <v>3255</v>
      </c>
      <c r="F189" s="18" t="s">
        <v>4056</v>
      </c>
      <c r="G189" s="18" t="s">
        <v>4057</v>
      </c>
      <c r="H189" s="16" t="n">
        <v>280</v>
      </c>
    </row>
    <row r="190" customFormat="false" ht="15" hidden="false" customHeight="false" outlineLevel="0" collapsed="false">
      <c r="A190" s="18" t="s">
        <v>4058</v>
      </c>
      <c r="B190" s="18" t="s">
        <v>4059</v>
      </c>
      <c r="C190" s="18" t="s">
        <v>4060</v>
      </c>
      <c r="D190" s="16" t="n">
        <v>-4</v>
      </c>
      <c r="E190" s="18" t="s">
        <v>3255</v>
      </c>
      <c r="F190" s="18" t="s">
        <v>4061</v>
      </c>
      <c r="G190" s="18" t="s">
        <v>4062</v>
      </c>
      <c r="H190" s="16" t="n">
        <v>6816</v>
      </c>
    </row>
    <row r="191" customFormat="false" ht="15" hidden="false" customHeight="false" outlineLevel="0" collapsed="false">
      <c r="A191" s="18" t="s">
        <v>4063</v>
      </c>
      <c r="B191" s="18" t="s">
        <v>4064</v>
      </c>
      <c r="C191" s="18" t="s">
        <v>4065</v>
      </c>
      <c r="D191" s="16" t="n">
        <v>-1</v>
      </c>
      <c r="E191" s="18" t="s">
        <v>3255</v>
      </c>
    </row>
    <row r="192" customFormat="false" ht="15" hidden="false" customHeight="false" outlineLevel="0" collapsed="false">
      <c r="A192" s="18" t="s">
        <v>4066</v>
      </c>
      <c r="B192" s="18" t="s">
        <v>4067</v>
      </c>
      <c r="C192" s="18" t="s">
        <v>4068</v>
      </c>
      <c r="D192" s="16" t="n">
        <v>-1</v>
      </c>
      <c r="E192" s="18" t="s">
        <v>3255</v>
      </c>
    </row>
    <row r="193" customFormat="false" ht="15" hidden="false" customHeight="false" outlineLevel="0" collapsed="false">
      <c r="A193" s="18" t="s">
        <v>4069</v>
      </c>
      <c r="B193" s="18" t="s">
        <v>4070</v>
      </c>
      <c r="C193" s="18" t="s">
        <v>4071</v>
      </c>
      <c r="D193" s="16" t="n">
        <v>-1</v>
      </c>
      <c r="E193" s="18" t="s">
        <v>3255</v>
      </c>
    </row>
    <row r="194" customFormat="false" ht="15" hidden="false" customHeight="false" outlineLevel="0" collapsed="false">
      <c r="A194" s="18" t="s">
        <v>4072</v>
      </c>
      <c r="B194" s="18" t="s">
        <v>4073</v>
      </c>
      <c r="C194" s="18" t="s">
        <v>4074</v>
      </c>
      <c r="D194" s="16" t="n">
        <v>-1</v>
      </c>
      <c r="E194" s="18" t="s">
        <v>3255</v>
      </c>
    </row>
    <row r="195" customFormat="false" ht="15" hidden="false" customHeight="false" outlineLevel="0" collapsed="false">
      <c r="A195" s="18" t="s">
        <v>4075</v>
      </c>
      <c r="B195" s="18" t="s">
        <v>4076</v>
      </c>
      <c r="C195" s="18" t="s">
        <v>4077</v>
      </c>
      <c r="D195" s="16" t="n">
        <v>-4</v>
      </c>
      <c r="E195" s="18" t="s">
        <v>3255</v>
      </c>
      <c r="F195" s="18" t="s">
        <v>4078</v>
      </c>
      <c r="G195" s="18" t="s">
        <v>4079</v>
      </c>
      <c r="H195" s="16" t="n">
        <v>321</v>
      </c>
    </row>
    <row r="196" customFormat="false" ht="15" hidden="false" customHeight="false" outlineLevel="0" collapsed="false">
      <c r="A196" s="18" t="s">
        <v>4080</v>
      </c>
      <c r="B196" s="18" t="s">
        <v>4081</v>
      </c>
      <c r="C196" s="18" t="s">
        <v>4082</v>
      </c>
      <c r="D196" s="16" t="n">
        <v>0</v>
      </c>
      <c r="E196" s="18" t="s">
        <v>3255</v>
      </c>
      <c r="F196" s="18" t="s">
        <v>4083</v>
      </c>
      <c r="G196" s="18" t="s">
        <v>4084</v>
      </c>
      <c r="H196" s="16" t="n">
        <v>597</v>
      </c>
    </row>
    <row r="197" customFormat="false" ht="15" hidden="false" customHeight="false" outlineLevel="0" collapsed="false">
      <c r="A197" s="18" t="s">
        <v>4085</v>
      </c>
      <c r="B197" s="18" t="s">
        <v>4086</v>
      </c>
      <c r="C197" s="18" t="s">
        <v>4087</v>
      </c>
      <c r="D197" s="16" t="n">
        <v>-1</v>
      </c>
      <c r="E197" s="18" t="s">
        <v>3255</v>
      </c>
    </row>
    <row r="198" customFormat="false" ht="15" hidden="false" customHeight="false" outlineLevel="0" collapsed="false">
      <c r="A198" s="18" t="s">
        <v>4088</v>
      </c>
      <c r="B198" s="18" t="s">
        <v>4089</v>
      </c>
      <c r="C198" s="18" t="s">
        <v>4090</v>
      </c>
      <c r="D198" s="16" t="n">
        <v>-4</v>
      </c>
      <c r="E198" s="18" t="s">
        <v>3255</v>
      </c>
      <c r="F198" s="18" t="s">
        <v>4091</v>
      </c>
      <c r="G198" s="18" t="s">
        <v>4092</v>
      </c>
      <c r="H198" s="16" t="n">
        <v>6176</v>
      </c>
    </row>
    <row r="199" customFormat="false" ht="15" hidden="false" customHeight="false" outlineLevel="0" collapsed="false">
      <c r="A199" s="18" t="s">
        <v>4093</v>
      </c>
      <c r="B199" s="18" t="s">
        <v>4094</v>
      </c>
      <c r="C199" s="18" t="s">
        <v>4095</v>
      </c>
      <c r="D199" s="16" t="n">
        <v>2</v>
      </c>
      <c r="E199" s="18" t="s">
        <v>3255</v>
      </c>
      <c r="F199" s="18" t="s">
        <v>4096</v>
      </c>
      <c r="G199" s="18" t="s">
        <v>4097</v>
      </c>
      <c r="H199" s="16" t="n">
        <v>23978</v>
      </c>
    </row>
    <row r="200" customFormat="false" ht="15" hidden="false" customHeight="false" outlineLevel="0" collapsed="false">
      <c r="A200" s="18" t="s">
        <v>4098</v>
      </c>
      <c r="B200" s="18" t="s">
        <v>4094</v>
      </c>
      <c r="C200" s="18" t="s">
        <v>4095</v>
      </c>
      <c r="D200" s="16" t="n">
        <v>2</v>
      </c>
      <c r="E200" s="18" t="s">
        <v>3592</v>
      </c>
      <c r="F200" s="18" t="s">
        <v>4096</v>
      </c>
      <c r="G200" s="18" t="s">
        <v>4097</v>
      </c>
      <c r="H200" s="16" t="n">
        <v>23978</v>
      </c>
    </row>
    <row r="201" customFormat="false" ht="15" hidden="false" customHeight="false" outlineLevel="0" collapsed="false">
      <c r="A201" s="18" t="s">
        <v>4099</v>
      </c>
      <c r="B201" s="18" t="s">
        <v>4094</v>
      </c>
      <c r="C201" s="18" t="s">
        <v>4095</v>
      </c>
      <c r="D201" s="16" t="n">
        <v>2</v>
      </c>
      <c r="E201" s="18" t="s">
        <v>3594</v>
      </c>
      <c r="F201" s="18" t="s">
        <v>4096</v>
      </c>
      <c r="G201" s="18" t="s">
        <v>4097</v>
      </c>
      <c r="H201" s="16" t="n">
        <v>23978</v>
      </c>
    </row>
    <row r="202" customFormat="false" ht="15" hidden="false" customHeight="false" outlineLevel="0" collapsed="false">
      <c r="A202" s="18" t="s">
        <v>4100</v>
      </c>
      <c r="B202" s="18" t="s">
        <v>4101</v>
      </c>
      <c r="C202" s="18" t="s">
        <v>4102</v>
      </c>
      <c r="D202" s="16" t="n">
        <v>0</v>
      </c>
      <c r="E202" s="18" t="s">
        <v>3255</v>
      </c>
      <c r="F202" s="18" t="s">
        <v>4103</v>
      </c>
      <c r="G202" s="18" t="s">
        <v>4104</v>
      </c>
      <c r="H202" s="16" t="n">
        <v>5862</v>
      </c>
    </row>
    <row r="203" customFormat="false" ht="15" hidden="false" customHeight="false" outlineLevel="0" collapsed="false">
      <c r="A203" s="18" t="s">
        <v>4105</v>
      </c>
      <c r="B203" s="18" t="s">
        <v>4106</v>
      </c>
      <c r="D203" s="16" t="n">
        <v>0</v>
      </c>
      <c r="E203" s="18" t="s">
        <v>3594</v>
      </c>
    </row>
    <row r="204" customFormat="false" ht="15" hidden="false" customHeight="false" outlineLevel="0" collapsed="false">
      <c r="A204" s="18" t="s">
        <v>4107</v>
      </c>
      <c r="B204" s="18" t="s">
        <v>4108</v>
      </c>
      <c r="D204" s="16" t="n">
        <v>0</v>
      </c>
      <c r="E204" s="18" t="s">
        <v>3594</v>
      </c>
    </row>
    <row r="205" customFormat="false" ht="15" hidden="false" customHeight="false" outlineLevel="0" collapsed="false">
      <c r="A205" s="18" t="s">
        <v>4109</v>
      </c>
      <c r="B205" s="18" t="s">
        <v>4110</v>
      </c>
      <c r="D205" s="16" t="n">
        <v>0</v>
      </c>
      <c r="E205" s="18" t="s">
        <v>3594</v>
      </c>
    </row>
    <row r="206" customFormat="false" ht="15" hidden="false" customHeight="false" outlineLevel="0" collapsed="false">
      <c r="A206" s="18" t="s">
        <v>4111</v>
      </c>
      <c r="B206" s="18" t="s">
        <v>4112</v>
      </c>
      <c r="D206" s="16" t="n">
        <v>0</v>
      </c>
      <c r="E206" s="18" t="s">
        <v>3594</v>
      </c>
    </row>
    <row r="207" customFormat="false" ht="15" hidden="false" customHeight="false" outlineLevel="0" collapsed="false">
      <c r="A207" s="18" t="s">
        <v>4113</v>
      </c>
      <c r="B207" s="18" t="s">
        <v>4114</v>
      </c>
      <c r="C207" s="18" t="s">
        <v>4115</v>
      </c>
      <c r="D207" s="16" t="n">
        <v>0</v>
      </c>
      <c r="E207" s="18" t="s">
        <v>3255</v>
      </c>
      <c r="F207" s="18" t="s">
        <v>4116</v>
      </c>
      <c r="G207" s="18" t="s">
        <v>4117</v>
      </c>
      <c r="H207" s="16" t="n">
        <v>6175</v>
      </c>
    </row>
    <row r="208" customFormat="false" ht="15" hidden="false" customHeight="false" outlineLevel="0" collapsed="false">
      <c r="A208" s="18" t="s">
        <v>4118</v>
      </c>
      <c r="B208" s="18" t="s">
        <v>4119</v>
      </c>
      <c r="C208" s="18" t="s">
        <v>4120</v>
      </c>
      <c r="D208" s="16" t="n">
        <v>-3</v>
      </c>
      <c r="E208" s="18" t="s">
        <v>3255</v>
      </c>
      <c r="F208" s="18" t="s">
        <v>4121</v>
      </c>
      <c r="H208" s="16" t="n">
        <v>41635</v>
      </c>
    </row>
    <row r="209" customFormat="false" ht="15" hidden="false" customHeight="false" outlineLevel="0" collapsed="false">
      <c r="A209" s="18" t="s">
        <v>4122</v>
      </c>
      <c r="B209" s="18" t="s">
        <v>4123</v>
      </c>
      <c r="C209" s="18" t="s">
        <v>4124</v>
      </c>
      <c r="D209" s="16" t="n">
        <v>0</v>
      </c>
      <c r="E209" s="18" t="s">
        <v>3255</v>
      </c>
      <c r="F209" s="18" t="s">
        <v>4125</v>
      </c>
      <c r="G209" s="18" t="s">
        <v>4126</v>
      </c>
      <c r="H209" s="16" t="n">
        <v>13730</v>
      </c>
    </row>
    <row r="210" customFormat="false" ht="15" hidden="false" customHeight="false" outlineLevel="0" collapsed="false">
      <c r="A210" s="18" t="s">
        <v>4127</v>
      </c>
      <c r="B210" s="18" t="s">
        <v>4128</v>
      </c>
      <c r="C210" s="18" t="s">
        <v>4124</v>
      </c>
      <c r="D210" s="16" t="n">
        <v>0</v>
      </c>
      <c r="E210" s="18" t="s">
        <v>3255</v>
      </c>
      <c r="F210" s="18" t="s">
        <v>4129</v>
      </c>
      <c r="G210" s="18" t="s">
        <v>4130</v>
      </c>
      <c r="H210" s="16" t="n">
        <v>439182</v>
      </c>
    </row>
    <row r="211" customFormat="false" ht="15" hidden="false" customHeight="false" outlineLevel="0" collapsed="false">
      <c r="A211" s="18" t="s">
        <v>4131</v>
      </c>
      <c r="B211" s="18" t="s">
        <v>4132</v>
      </c>
      <c r="C211" s="18" t="s">
        <v>4133</v>
      </c>
      <c r="D211" s="16" t="n">
        <v>-3</v>
      </c>
      <c r="E211" s="18" t="s">
        <v>3255</v>
      </c>
      <c r="F211" s="18" t="s">
        <v>4134</v>
      </c>
      <c r="G211" s="18" t="s">
        <v>4135</v>
      </c>
      <c r="H211" s="16" t="n">
        <v>188966</v>
      </c>
    </row>
    <row r="212" customFormat="false" ht="15" hidden="false" customHeight="false" outlineLevel="0" collapsed="false">
      <c r="A212" s="18" t="s">
        <v>4136</v>
      </c>
      <c r="B212" s="18" t="s">
        <v>4137</v>
      </c>
      <c r="D212" s="16" t="n">
        <v>0</v>
      </c>
      <c r="E212" s="18" t="s">
        <v>3255</v>
      </c>
    </row>
    <row r="213" customFormat="false" ht="15" hidden="false" customHeight="false" outlineLevel="0" collapsed="false">
      <c r="A213" s="18" t="s">
        <v>4138</v>
      </c>
      <c r="B213" s="18" t="s">
        <v>4139</v>
      </c>
      <c r="C213" s="18" t="s">
        <v>4140</v>
      </c>
      <c r="D213" s="16" t="n">
        <v>1</v>
      </c>
      <c r="E213" s="18" t="s">
        <v>3255</v>
      </c>
      <c r="F213" s="18" t="s">
        <v>4141</v>
      </c>
      <c r="G213" s="18" t="s">
        <v>4142</v>
      </c>
      <c r="H213" s="16" t="n">
        <v>652</v>
      </c>
    </row>
    <row r="214" customFormat="false" ht="15" hidden="false" customHeight="false" outlineLevel="0" collapsed="false">
      <c r="A214" s="18" t="s">
        <v>4143</v>
      </c>
      <c r="B214" s="18" t="s">
        <v>4144</v>
      </c>
      <c r="C214" s="18" t="s">
        <v>4145</v>
      </c>
      <c r="D214" s="16" t="n">
        <v>-4</v>
      </c>
      <c r="E214" s="18" t="s">
        <v>3255</v>
      </c>
      <c r="F214" s="18" t="s">
        <v>4146</v>
      </c>
      <c r="G214" s="18" t="s">
        <v>4147</v>
      </c>
      <c r="H214" s="16" t="n">
        <v>15993</v>
      </c>
    </row>
    <row r="215" customFormat="false" ht="15" hidden="false" customHeight="false" outlineLevel="0" collapsed="false">
      <c r="A215" s="18" t="s">
        <v>4148</v>
      </c>
      <c r="B215" s="18" t="s">
        <v>4149</v>
      </c>
      <c r="C215" s="18" t="s">
        <v>4150</v>
      </c>
      <c r="D215" s="16" t="n">
        <v>-2</v>
      </c>
      <c r="E215" s="18" t="s">
        <v>3255</v>
      </c>
      <c r="F215" s="18" t="s">
        <v>4151</v>
      </c>
      <c r="G215" s="18" t="s">
        <v>4152</v>
      </c>
    </row>
    <row r="216" customFormat="false" ht="15" hidden="false" customHeight="false" outlineLevel="0" collapsed="false">
      <c r="A216" s="18" t="s">
        <v>4153</v>
      </c>
      <c r="B216" s="18" t="s">
        <v>4154</v>
      </c>
      <c r="C216" s="18" t="s">
        <v>4155</v>
      </c>
      <c r="D216" s="16" t="n">
        <v>-1</v>
      </c>
      <c r="E216" s="18" t="s">
        <v>3255</v>
      </c>
      <c r="G216" s="18" t="s">
        <v>4156</v>
      </c>
    </row>
    <row r="217" customFormat="false" ht="15" hidden="false" customHeight="false" outlineLevel="0" collapsed="false">
      <c r="A217" s="18" t="s">
        <v>4157</v>
      </c>
      <c r="B217" s="18" t="s">
        <v>4158</v>
      </c>
      <c r="C217" s="18" t="s">
        <v>4159</v>
      </c>
      <c r="D217" s="16" t="n">
        <v>-4</v>
      </c>
      <c r="E217" s="18" t="s">
        <v>3255</v>
      </c>
      <c r="F217" s="18" t="s">
        <v>4160</v>
      </c>
      <c r="G217" s="18" t="s">
        <v>4161</v>
      </c>
      <c r="H217" s="16" t="n">
        <v>440122</v>
      </c>
    </row>
    <row r="218" customFormat="false" ht="15" hidden="false" customHeight="false" outlineLevel="0" collapsed="false">
      <c r="A218" s="18" t="s">
        <v>4162</v>
      </c>
      <c r="B218" s="18" t="s">
        <v>4163</v>
      </c>
      <c r="C218" s="18" t="s">
        <v>4164</v>
      </c>
      <c r="D218" s="16" t="n">
        <v>-3</v>
      </c>
      <c r="E218" s="18" t="s">
        <v>3255</v>
      </c>
      <c r="F218" s="18" t="s">
        <v>4165</v>
      </c>
      <c r="G218" s="18" t="s">
        <v>4166</v>
      </c>
      <c r="H218" s="16" t="n">
        <v>150855</v>
      </c>
    </row>
    <row r="219" customFormat="false" ht="15" hidden="false" customHeight="false" outlineLevel="0" collapsed="false">
      <c r="A219" s="18" t="s">
        <v>4167</v>
      </c>
      <c r="B219" s="18" t="s">
        <v>4168</v>
      </c>
      <c r="C219" s="18" t="s">
        <v>4169</v>
      </c>
      <c r="D219" s="16" t="n">
        <v>-2</v>
      </c>
      <c r="E219" s="18" t="s">
        <v>3255</v>
      </c>
      <c r="F219" s="18" t="s">
        <v>4170</v>
      </c>
      <c r="G219" s="18" t="s">
        <v>4171</v>
      </c>
      <c r="H219" s="16" t="n">
        <v>13945</v>
      </c>
    </row>
    <row r="220" customFormat="false" ht="15" hidden="false" customHeight="false" outlineLevel="0" collapsed="false">
      <c r="A220" s="18" t="s">
        <v>4172</v>
      </c>
      <c r="B220" s="18" t="s">
        <v>4173</v>
      </c>
      <c r="C220" s="18" t="s">
        <v>4174</v>
      </c>
      <c r="D220" s="16" t="n">
        <v>-4</v>
      </c>
      <c r="E220" s="18" t="s">
        <v>3255</v>
      </c>
      <c r="F220" s="18" t="s">
        <v>4175</v>
      </c>
      <c r="G220" s="18" t="s">
        <v>4176</v>
      </c>
      <c r="H220" s="16" t="n">
        <v>65091</v>
      </c>
    </row>
    <row r="221" customFormat="false" ht="15" hidden="false" customHeight="false" outlineLevel="0" collapsed="false">
      <c r="A221" s="18" t="s">
        <v>4177</v>
      </c>
      <c r="B221" s="18" t="s">
        <v>4178</v>
      </c>
      <c r="C221" s="18" t="s">
        <v>4179</v>
      </c>
      <c r="D221" s="16" t="n">
        <v>0</v>
      </c>
      <c r="E221" s="18" t="s">
        <v>3255</v>
      </c>
      <c r="F221" s="18" t="s">
        <v>4180</v>
      </c>
      <c r="G221" s="18" t="s">
        <v>4181</v>
      </c>
      <c r="H221" s="16" t="n">
        <v>13711</v>
      </c>
    </row>
    <row r="222" customFormat="false" ht="15" hidden="false" customHeight="false" outlineLevel="0" collapsed="false">
      <c r="A222" s="18" t="s">
        <v>4182</v>
      </c>
      <c r="B222" s="18" t="s">
        <v>4183</v>
      </c>
      <c r="C222" s="18" t="s">
        <v>4184</v>
      </c>
      <c r="D222" s="16" t="n">
        <v>-1</v>
      </c>
      <c r="E222" s="18" t="s">
        <v>3255</v>
      </c>
      <c r="G222" s="18" t="s">
        <v>4185</v>
      </c>
    </row>
    <row r="223" customFormat="false" ht="15" hidden="false" customHeight="false" outlineLevel="0" collapsed="false">
      <c r="A223" s="18" t="s">
        <v>4186</v>
      </c>
      <c r="B223" s="18" t="s">
        <v>4187</v>
      </c>
      <c r="C223" s="18" t="s">
        <v>4188</v>
      </c>
      <c r="D223" s="16" t="n">
        <v>-4</v>
      </c>
      <c r="E223" s="18" t="s">
        <v>3255</v>
      </c>
    </row>
    <row r="224" customFormat="false" ht="15" hidden="false" customHeight="false" outlineLevel="0" collapsed="false">
      <c r="A224" s="18" t="s">
        <v>4189</v>
      </c>
      <c r="B224" s="18" t="s">
        <v>4190</v>
      </c>
      <c r="C224" s="18" t="s">
        <v>4191</v>
      </c>
      <c r="D224" s="16" t="n">
        <v>-1</v>
      </c>
      <c r="E224" s="18" t="s">
        <v>3255</v>
      </c>
    </row>
    <row r="225" customFormat="false" ht="15" hidden="false" customHeight="false" outlineLevel="0" collapsed="false">
      <c r="A225" s="18" t="s">
        <v>4192</v>
      </c>
      <c r="B225" s="18" t="s">
        <v>4193</v>
      </c>
      <c r="C225" s="18" t="s">
        <v>3793</v>
      </c>
      <c r="D225" s="16" t="n">
        <v>-3</v>
      </c>
      <c r="E225" s="18" t="s">
        <v>3255</v>
      </c>
      <c r="F225" s="18" t="s">
        <v>4194</v>
      </c>
      <c r="G225" s="18" t="s">
        <v>4195</v>
      </c>
      <c r="H225" s="16" t="n">
        <v>439220</v>
      </c>
    </row>
    <row r="226" customFormat="false" ht="15" hidden="false" customHeight="false" outlineLevel="0" collapsed="false">
      <c r="A226" s="18" t="s">
        <v>4196</v>
      </c>
      <c r="B226" s="18" t="s">
        <v>4197</v>
      </c>
      <c r="C226" s="18" t="s">
        <v>3788</v>
      </c>
      <c r="D226" s="16" t="n">
        <v>0</v>
      </c>
      <c r="E226" s="18" t="s">
        <v>3255</v>
      </c>
      <c r="F226" s="18" t="s">
        <v>4198</v>
      </c>
      <c r="G226" s="18" t="s">
        <v>4199</v>
      </c>
      <c r="H226" s="16" t="n">
        <v>187790</v>
      </c>
    </row>
    <row r="227" customFormat="false" ht="15" hidden="false" customHeight="false" outlineLevel="0" collapsed="false">
      <c r="A227" s="18" t="s">
        <v>4200</v>
      </c>
      <c r="B227" s="18" t="s">
        <v>4201</v>
      </c>
      <c r="C227" s="18" t="s">
        <v>3940</v>
      </c>
      <c r="D227" s="16" t="n">
        <v>-4</v>
      </c>
      <c r="E227" s="18" t="s">
        <v>3255</v>
      </c>
      <c r="F227" s="18" t="s">
        <v>4202</v>
      </c>
      <c r="G227" s="18" t="s">
        <v>4203</v>
      </c>
      <c r="H227" s="16" t="n">
        <v>65103</v>
      </c>
    </row>
    <row r="228" customFormat="false" ht="15" hidden="false" customHeight="false" outlineLevel="0" collapsed="false">
      <c r="A228" s="18" t="s">
        <v>4204</v>
      </c>
      <c r="B228" s="18" t="s">
        <v>4205</v>
      </c>
      <c r="C228" s="18" t="s">
        <v>4206</v>
      </c>
      <c r="D228" s="16" t="n">
        <v>-2</v>
      </c>
      <c r="E228" s="18" t="s">
        <v>3255</v>
      </c>
      <c r="F228" s="18" t="s">
        <v>4207</v>
      </c>
      <c r="G228" s="18" t="s">
        <v>4208</v>
      </c>
      <c r="H228" s="16" t="n">
        <v>668</v>
      </c>
    </row>
    <row r="229" customFormat="false" ht="15" hidden="false" customHeight="false" outlineLevel="0" collapsed="false">
      <c r="A229" s="18" t="s">
        <v>4209</v>
      </c>
      <c r="B229" s="18" t="s">
        <v>4210</v>
      </c>
      <c r="C229" s="18" t="s">
        <v>4211</v>
      </c>
      <c r="D229" s="16" t="n">
        <v>-2</v>
      </c>
      <c r="E229" s="18" t="s">
        <v>3255</v>
      </c>
      <c r="F229" s="18" t="s">
        <v>4212</v>
      </c>
      <c r="G229" s="18" t="s">
        <v>4213</v>
      </c>
      <c r="H229" s="16" t="n">
        <v>98792</v>
      </c>
    </row>
    <row r="230" customFormat="false" ht="15" hidden="false" customHeight="false" outlineLevel="0" collapsed="false">
      <c r="A230" s="18" t="s">
        <v>4214</v>
      </c>
      <c r="B230" s="18" t="s">
        <v>4215</v>
      </c>
      <c r="C230" s="18" t="s">
        <v>4216</v>
      </c>
      <c r="D230" s="16" t="n">
        <v>0</v>
      </c>
      <c r="E230" s="18" t="s">
        <v>3255</v>
      </c>
      <c r="F230" s="18" t="s">
        <v>4217</v>
      </c>
      <c r="G230" s="18" t="s">
        <v>4218</v>
      </c>
      <c r="H230" s="16" t="n">
        <v>659</v>
      </c>
    </row>
    <row r="231" customFormat="false" ht="15" hidden="false" customHeight="false" outlineLevel="0" collapsed="false">
      <c r="A231" s="18" t="s">
        <v>4219</v>
      </c>
      <c r="B231" s="18" t="s">
        <v>4220</v>
      </c>
      <c r="C231" s="18" t="s">
        <v>4221</v>
      </c>
      <c r="D231" s="16" t="n">
        <v>-1</v>
      </c>
      <c r="E231" s="18" t="s">
        <v>3255</v>
      </c>
      <c r="F231" s="18" t="s">
        <v>4222</v>
      </c>
      <c r="G231" s="18" t="s">
        <v>4223</v>
      </c>
      <c r="H231" s="16" t="n">
        <v>439216</v>
      </c>
    </row>
    <row r="232" customFormat="false" ht="15" hidden="false" customHeight="false" outlineLevel="0" collapsed="false">
      <c r="A232" s="18" t="s">
        <v>4224</v>
      </c>
      <c r="B232" s="18" t="s">
        <v>4225</v>
      </c>
      <c r="C232" s="18" t="s">
        <v>4226</v>
      </c>
      <c r="D232" s="16" t="n">
        <v>-2</v>
      </c>
      <c r="E232" s="18" t="s">
        <v>3255</v>
      </c>
      <c r="F232" s="18" t="s">
        <v>4227</v>
      </c>
      <c r="G232" s="18" t="s">
        <v>4228</v>
      </c>
      <c r="H232" s="16" t="n">
        <v>664</v>
      </c>
    </row>
    <row r="233" customFormat="false" ht="15" hidden="false" customHeight="false" outlineLevel="0" collapsed="false">
      <c r="A233" s="18" t="s">
        <v>4229</v>
      </c>
      <c r="B233" s="18" t="s">
        <v>4230</v>
      </c>
      <c r="C233" s="18" t="s">
        <v>4231</v>
      </c>
      <c r="D233" s="16" t="n">
        <v>-1</v>
      </c>
      <c r="E233" s="18" t="s">
        <v>3255</v>
      </c>
      <c r="F233" s="18" t="s">
        <v>4232</v>
      </c>
      <c r="G233" s="18" t="s">
        <v>4233</v>
      </c>
      <c r="H233" s="16" t="n">
        <v>170</v>
      </c>
    </row>
    <row r="234" customFormat="false" ht="15" hidden="false" customHeight="false" outlineLevel="0" collapsed="false">
      <c r="A234" s="18" t="s">
        <v>4234</v>
      </c>
      <c r="B234" s="18" t="s">
        <v>4235</v>
      </c>
      <c r="C234" s="18" t="s">
        <v>4236</v>
      </c>
      <c r="D234" s="16" t="n">
        <v>0</v>
      </c>
      <c r="E234" s="18" t="s">
        <v>3255</v>
      </c>
      <c r="F234" s="18" t="s">
        <v>4237</v>
      </c>
      <c r="G234" s="18" t="s">
        <v>4238</v>
      </c>
      <c r="H234" s="16" t="n">
        <v>443434</v>
      </c>
    </row>
    <row r="235" customFormat="false" ht="15" hidden="false" customHeight="false" outlineLevel="0" collapsed="false">
      <c r="A235" s="18" t="s">
        <v>4239</v>
      </c>
      <c r="B235" s="18" t="s">
        <v>4240</v>
      </c>
      <c r="C235" s="18" t="s">
        <v>4241</v>
      </c>
      <c r="D235" s="16" t="n">
        <v>0</v>
      </c>
      <c r="E235" s="18" t="s">
        <v>3255</v>
      </c>
      <c r="F235" s="18" t="s">
        <v>4242</v>
      </c>
      <c r="G235" s="18" t="s">
        <v>4243</v>
      </c>
      <c r="H235" s="16" t="n">
        <v>65058</v>
      </c>
    </row>
    <row r="236" customFormat="false" ht="15" hidden="false" customHeight="false" outlineLevel="0" collapsed="false">
      <c r="A236" s="18" t="s">
        <v>4244</v>
      </c>
      <c r="B236" s="18" t="s">
        <v>4245</v>
      </c>
      <c r="C236" s="18" t="s">
        <v>3337</v>
      </c>
      <c r="D236" s="16" t="n">
        <v>-2</v>
      </c>
      <c r="E236" s="18" t="s">
        <v>3255</v>
      </c>
      <c r="F236" s="18" t="s">
        <v>4246</v>
      </c>
      <c r="G236" s="18" t="s">
        <v>4247</v>
      </c>
      <c r="H236" s="16" t="n">
        <v>561</v>
      </c>
    </row>
    <row r="237" customFormat="false" ht="15" hidden="false" customHeight="false" outlineLevel="0" collapsed="false">
      <c r="A237" s="18" t="s">
        <v>4248</v>
      </c>
      <c r="B237" s="18" t="s">
        <v>4249</v>
      </c>
      <c r="C237" s="18" t="s">
        <v>4250</v>
      </c>
      <c r="D237" s="16" t="n">
        <v>0</v>
      </c>
      <c r="E237" s="18" t="s">
        <v>3255</v>
      </c>
      <c r="F237" s="18" t="s">
        <v>4251</v>
      </c>
      <c r="G237" s="18" t="s">
        <v>4252</v>
      </c>
      <c r="H237" s="16" t="n">
        <v>672</v>
      </c>
    </row>
    <row r="238" customFormat="false" ht="15" hidden="false" customHeight="false" outlineLevel="0" collapsed="false">
      <c r="A238" s="18" t="s">
        <v>4253</v>
      </c>
      <c r="B238" s="18" t="s">
        <v>4254</v>
      </c>
      <c r="C238" s="18" t="s">
        <v>4255</v>
      </c>
      <c r="D238" s="16" t="n">
        <v>-3</v>
      </c>
      <c r="E238" s="18" t="s">
        <v>3255</v>
      </c>
      <c r="F238" s="18" t="s">
        <v>4256</v>
      </c>
      <c r="G238" s="18" t="s">
        <v>4257</v>
      </c>
      <c r="H238" s="16" t="n">
        <v>647</v>
      </c>
    </row>
    <row r="239" customFormat="false" ht="15" hidden="false" customHeight="false" outlineLevel="0" collapsed="false">
      <c r="A239" s="18" t="s">
        <v>4258</v>
      </c>
      <c r="B239" s="18" t="s">
        <v>4259</v>
      </c>
      <c r="C239" s="18" t="s">
        <v>4260</v>
      </c>
      <c r="D239" s="16" t="n">
        <v>-2</v>
      </c>
      <c r="E239" s="18" t="s">
        <v>3255</v>
      </c>
      <c r="F239" s="18" t="s">
        <v>4261</v>
      </c>
      <c r="G239" s="18" t="s">
        <v>4262</v>
      </c>
      <c r="H239" s="16" t="n">
        <v>165491</v>
      </c>
    </row>
    <row r="240" customFormat="false" ht="15" hidden="false" customHeight="false" outlineLevel="0" collapsed="false">
      <c r="A240" s="18" t="s">
        <v>4263</v>
      </c>
      <c r="B240" s="18" t="s">
        <v>4264</v>
      </c>
      <c r="C240" s="18" t="s">
        <v>4265</v>
      </c>
      <c r="D240" s="16" t="n">
        <v>-2</v>
      </c>
      <c r="E240" s="18" t="s">
        <v>3255</v>
      </c>
      <c r="F240" s="18" t="s">
        <v>4266</v>
      </c>
      <c r="G240" s="18" t="s">
        <v>4267</v>
      </c>
      <c r="H240" s="16" t="n">
        <v>642</v>
      </c>
    </row>
    <row r="241" customFormat="false" ht="15" hidden="false" customHeight="false" outlineLevel="0" collapsed="false">
      <c r="A241" s="18" t="s">
        <v>4268</v>
      </c>
      <c r="B241" s="18" t="s">
        <v>4269</v>
      </c>
      <c r="C241" s="18" t="s">
        <v>4270</v>
      </c>
      <c r="D241" s="16" t="n">
        <v>-7</v>
      </c>
      <c r="E241" s="18" t="s">
        <v>3255</v>
      </c>
      <c r="F241" s="18" t="s">
        <v>4271</v>
      </c>
      <c r="G241" s="18" t="s">
        <v>4272</v>
      </c>
      <c r="H241" s="16" t="n">
        <v>5280516</v>
      </c>
    </row>
    <row r="242" customFormat="false" ht="15" hidden="false" customHeight="false" outlineLevel="0" collapsed="false">
      <c r="A242" s="18" t="s">
        <v>4273</v>
      </c>
      <c r="B242" s="18" t="s">
        <v>4274</v>
      </c>
      <c r="C242" s="18" t="s">
        <v>4275</v>
      </c>
      <c r="D242" s="16" t="n">
        <v>-1</v>
      </c>
      <c r="E242" s="18" t="s">
        <v>3255</v>
      </c>
      <c r="F242" s="18" t="s">
        <v>4276</v>
      </c>
      <c r="G242" s="18" t="s">
        <v>4277</v>
      </c>
      <c r="H242" s="16" t="n">
        <v>643</v>
      </c>
    </row>
    <row r="243" customFormat="false" ht="15" hidden="false" customHeight="false" outlineLevel="0" collapsed="false">
      <c r="A243" s="18" t="s">
        <v>4278</v>
      </c>
      <c r="B243" s="18" t="s">
        <v>4279</v>
      </c>
      <c r="C243" s="18" t="s">
        <v>4280</v>
      </c>
      <c r="D243" s="16" t="n">
        <v>-2</v>
      </c>
      <c r="E243" s="18" t="s">
        <v>3255</v>
      </c>
      <c r="F243" s="18" t="s">
        <v>4281</v>
      </c>
      <c r="G243" s="18" t="s">
        <v>4282</v>
      </c>
      <c r="H243" s="16" t="n">
        <v>439292</v>
      </c>
    </row>
    <row r="244" customFormat="false" ht="15" hidden="false" customHeight="false" outlineLevel="0" collapsed="false">
      <c r="A244" s="18" t="s">
        <v>4283</v>
      </c>
      <c r="B244" s="18" t="s">
        <v>4284</v>
      </c>
      <c r="C244" s="18" t="s">
        <v>4280</v>
      </c>
      <c r="D244" s="16" t="n">
        <v>-2</v>
      </c>
      <c r="E244" s="18" t="s">
        <v>3255</v>
      </c>
      <c r="F244" s="18" t="s">
        <v>4285</v>
      </c>
      <c r="G244" s="18" t="s">
        <v>4286</v>
      </c>
      <c r="H244" s="16" t="n">
        <v>439293</v>
      </c>
    </row>
    <row r="245" customFormat="false" ht="15" hidden="false" customHeight="false" outlineLevel="0" collapsed="false">
      <c r="A245" s="18" t="s">
        <v>4287</v>
      </c>
      <c r="B245" s="18" t="s">
        <v>4288</v>
      </c>
      <c r="C245" s="18" t="s">
        <v>4289</v>
      </c>
      <c r="D245" s="16" t="n">
        <v>-3</v>
      </c>
      <c r="E245" s="18" t="s">
        <v>3255</v>
      </c>
      <c r="F245" s="18" t="s">
        <v>4290</v>
      </c>
      <c r="G245" s="18" t="s">
        <v>4291</v>
      </c>
      <c r="H245" s="16" t="n">
        <v>164628</v>
      </c>
    </row>
    <row r="246" customFormat="false" ht="15" hidden="false" customHeight="false" outlineLevel="0" collapsed="false">
      <c r="A246" s="18" t="s">
        <v>4292</v>
      </c>
      <c r="B246" s="18" t="s">
        <v>4293</v>
      </c>
      <c r="C246" s="18" t="s">
        <v>4294</v>
      </c>
      <c r="D246" s="16" t="n">
        <v>-2</v>
      </c>
      <c r="E246" s="18" t="s">
        <v>3255</v>
      </c>
      <c r="F246" s="18" t="s">
        <v>4295</v>
      </c>
      <c r="G246" s="18" t="s">
        <v>4296</v>
      </c>
      <c r="H246" s="16" t="n">
        <v>439324</v>
      </c>
    </row>
    <row r="247" customFormat="false" ht="15" hidden="false" customHeight="false" outlineLevel="0" collapsed="false">
      <c r="A247" s="18" t="s">
        <v>4297</v>
      </c>
      <c r="B247" s="18" t="s">
        <v>4298</v>
      </c>
      <c r="C247" s="18" t="s">
        <v>4299</v>
      </c>
      <c r="D247" s="16" t="n">
        <v>-2</v>
      </c>
      <c r="E247" s="18" t="s">
        <v>3255</v>
      </c>
      <c r="F247" s="18" t="s">
        <v>4300</v>
      </c>
      <c r="G247" s="18" t="s">
        <v>4301</v>
      </c>
      <c r="H247" s="16" t="n">
        <v>439975</v>
      </c>
    </row>
    <row r="248" customFormat="false" ht="15" hidden="false" customHeight="false" outlineLevel="0" collapsed="false">
      <c r="A248" s="18" t="s">
        <v>4302</v>
      </c>
      <c r="B248" s="18" t="s">
        <v>4303</v>
      </c>
      <c r="C248" s="18" t="s">
        <v>4304</v>
      </c>
      <c r="D248" s="16" t="n">
        <v>-2</v>
      </c>
      <c r="E248" s="18" t="s">
        <v>3255</v>
      </c>
      <c r="F248" s="18" t="s">
        <v>4305</v>
      </c>
      <c r="G248" s="18" t="s">
        <v>4306</v>
      </c>
      <c r="H248" s="16" t="n">
        <v>9700</v>
      </c>
    </row>
    <row r="249" customFormat="false" ht="15" hidden="false" customHeight="false" outlineLevel="0" collapsed="false">
      <c r="A249" s="18" t="s">
        <v>4307</v>
      </c>
      <c r="B249" s="18" t="s">
        <v>4308</v>
      </c>
      <c r="C249" s="18" t="s">
        <v>4309</v>
      </c>
      <c r="D249" s="16" t="n">
        <v>-2</v>
      </c>
      <c r="E249" s="18" t="s">
        <v>3255</v>
      </c>
      <c r="F249" s="18" t="s">
        <v>4310</v>
      </c>
      <c r="G249" s="18" t="s">
        <v>4311</v>
      </c>
      <c r="H249" s="16" t="n">
        <v>5280700</v>
      </c>
    </row>
    <row r="250" customFormat="false" ht="15" hidden="false" customHeight="false" outlineLevel="0" collapsed="false">
      <c r="A250" s="18" t="s">
        <v>4312</v>
      </c>
      <c r="B250" s="18" t="s">
        <v>4313</v>
      </c>
      <c r="C250" s="18" t="s">
        <v>4314</v>
      </c>
      <c r="D250" s="16" t="n">
        <v>-3</v>
      </c>
      <c r="E250" s="18" t="s">
        <v>3255</v>
      </c>
      <c r="F250" s="18" t="s">
        <v>4315</v>
      </c>
      <c r="G250" s="18" t="s">
        <v>4316</v>
      </c>
      <c r="H250" s="16" t="n">
        <v>64968</v>
      </c>
    </row>
    <row r="251" customFormat="false" ht="15" hidden="false" customHeight="false" outlineLevel="0" collapsed="false">
      <c r="A251" s="18" t="s">
        <v>4317</v>
      </c>
      <c r="B251" s="18" t="s">
        <v>4318</v>
      </c>
      <c r="C251" s="18" t="s">
        <v>4319</v>
      </c>
      <c r="D251" s="16" t="n">
        <v>-3</v>
      </c>
      <c r="E251" s="18" t="s">
        <v>3255</v>
      </c>
      <c r="F251" s="18" t="s">
        <v>4320</v>
      </c>
      <c r="G251" s="18" t="s">
        <v>4321</v>
      </c>
      <c r="H251" s="16" t="n">
        <v>145729</v>
      </c>
    </row>
    <row r="252" customFormat="false" ht="15" hidden="false" customHeight="false" outlineLevel="0" collapsed="false">
      <c r="A252" s="18" t="s">
        <v>4322</v>
      </c>
      <c r="B252" s="18" t="s">
        <v>4323</v>
      </c>
      <c r="C252" s="18" t="s">
        <v>4324</v>
      </c>
      <c r="D252" s="16" t="n">
        <v>-2</v>
      </c>
      <c r="E252" s="18" t="s">
        <v>3255</v>
      </c>
      <c r="F252" s="18" t="s">
        <v>4325</v>
      </c>
      <c r="G252" s="18" t="s">
        <v>4326</v>
      </c>
      <c r="H252" s="16" t="n">
        <v>65063</v>
      </c>
    </row>
    <row r="253" customFormat="false" ht="15" hidden="false" customHeight="false" outlineLevel="0" collapsed="false">
      <c r="A253" s="18" t="s">
        <v>4327</v>
      </c>
      <c r="B253" s="18" t="s">
        <v>4328</v>
      </c>
      <c r="C253" s="18" t="s">
        <v>4329</v>
      </c>
      <c r="D253" s="16" t="n">
        <v>0</v>
      </c>
      <c r="E253" s="18" t="s">
        <v>3255</v>
      </c>
      <c r="F253" s="18" t="s">
        <v>4330</v>
      </c>
      <c r="G253" s="18" t="s">
        <v>4331</v>
      </c>
      <c r="H253" s="16" t="n">
        <v>13712</v>
      </c>
    </row>
    <row r="254" customFormat="false" ht="15" hidden="false" customHeight="false" outlineLevel="0" collapsed="false">
      <c r="A254" s="18" t="s">
        <v>4332</v>
      </c>
      <c r="B254" s="18" t="s">
        <v>4333</v>
      </c>
      <c r="C254" s="18" t="s">
        <v>4334</v>
      </c>
      <c r="D254" s="16" t="n">
        <v>-4</v>
      </c>
      <c r="E254" s="18" t="s">
        <v>3255</v>
      </c>
      <c r="F254" s="18" t="s">
        <v>4335</v>
      </c>
      <c r="G254" s="18" t="s">
        <v>4336</v>
      </c>
      <c r="H254" s="16" t="n">
        <v>65070</v>
      </c>
    </row>
    <row r="255" customFormat="false" ht="15" hidden="false" customHeight="false" outlineLevel="0" collapsed="false">
      <c r="A255" s="18" t="s">
        <v>4337</v>
      </c>
      <c r="B255" s="18" t="s">
        <v>4338</v>
      </c>
      <c r="C255" s="18" t="s">
        <v>4339</v>
      </c>
      <c r="D255" s="16" t="n">
        <v>-2</v>
      </c>
      <c r="E255" s="18" t="s">
        <v>3255</v>
      </c>
      <c r="F255" s="18" t="s">
        <v>4340</v>
      </c>
      <c r="G255" s="18" t="s">
        <v>4341</v>
      </c>
      <c r="H255" s="16" t="n">
        <v>443201</v>
      </c>
    </row>
    <row r="256" customFormat="false" ht="15" hidden="false" customHeight="false" outlineLevel="0" collapsed="false">
      <c r="A256" s="18" t="s">
        <v>4342</v>
      </c>
      <c r="B256" s="18" t="s">
        <v>4343</v>
      </c>
      <c r="C256" s="18" t="s">
        <v>4344</v>
      </c>
      <c r="D256" s="16" t="n">
        <v>-2</v>
      </c>
      <c r="E256" s="18" t="s">
        <v>3255</v>
      </c>
      <c r="F256" s="18" t="s">
        <v>4345</v>
      </c>
      <c r="G256" s="18" t="s">
        <v>4346</v>
      </c>
      <c r="H256" s="16" t="n">
        <v>697</v>
      </c>
    </row>
    <row r="257" customFormat="false" ht="15" hidden="false" customHeight="false" outlineLevel="0" collapsed="false">
      <c r="A257" s="18" t="s">
        <v>4347</v>
      </c>
      <c r="B257" s="18" t="s">
        <v>4348</v>
      </c>
      <c r="C257" s="18" t="s">
        <v>4349</v>
      </c>
      <c r="D257" s="16" t="n">
        <v>-2</v>
      </c>
      <c r="E257" s="18" t="s">
        <v>3255</v>
      </c>
      <c r="F257" s="18" t="s">
        <v>4350</v>
      </c>
      <c r="G257" s="18" t="s">
        <v>4351</v>
      </c>
      <c r="H257" s="16" t="n">
        <v>440431</v>
      </c>
    </row>
    <row r="258" customFormat="false" ht="15" hidden="false" customHeight="false" outlineLevel="0" collapsed="false">
      <c r="A258" s="18" t="s">
        <v>4352</v>
      </c>
      <c r="B258" s="18" t="s">
        <v>4353</v>
      </c>
      <c r="D258" s="16" t="n">
        <v>0</v>
      </c>
      <c r="E258" s="18" t="s">
        <v>3255</v>
      </c>
    </row>
    <row r="259" customFormat="false" ht="15" hidden="false" customHeight="false" outlineLevel="0" collapsed="false">
      <c r="A259" s="18" t="s">
        <v>4354</v>
      </c>
      <c r="B259" s="18" t="s">
        <v>4353</v>
      </c>
      <c r="D259" s="16" t="n">
        <v>0</v>
      </c>
      <c r="E259" s="18" t="s">
        <v>3592</v>
      </c>
    </row>
    <row r="260" customFormat="false" ht="15" hidden="false" customHeight="false" outlineLevel="0" collapsed="false">
      <c r="A260" s="18" t="s">
        <v>4355</v>
      </c>
      <c r="B260" s="18" t="s">
        <v>4353</v>
      </c>
      <c r="D260" s="16" t="n">
        <v>0</v>
      </c>
      <c r="E260" s="18" t="s">
        <v>3594</v>
      </c>
    </row>
    <row r="261" customFormat="false" ht="15" hidden="false" customHeight="false" outlineLevel="0" collapsed="false">
      <c r="A261" s="18" t="s">
        <v>4356</v>
      </c>
      <c r="B261" s="18" t="s">
        <v>4357</v>
      </c>
      <c r="D261" s="16" t="n">
        <v>0</v>
      </c>
      <c r="E261" s="18" t="s">
        <v>3594</v>
      </c>
    </row>
    <row r="262" customFormat="false" ht="15" hidden="false" customHeight="false" outlineLevel="0" collapsed="false">
      <c r="A262" s="18" t="s">
        <v>4358</v>
      </c>
      <c r="B262" s="18" t="s">
        <v>4359</v>
      </c>
      <c r="D262" s="16" t="n">
        <v>0</v>
      </c>
      <c r="E262" s="18" t="s">
        <v>3594</v>
      </c>
    </row>
    <row r="263" customFormat="false" ht="15" hidden="false" customHeight="false" outlineLevel="0" collapsed="false">
      <c r="A263" s="18" t="s">
        <v>4360</v>
      </c>
      <c r="B263" s="18" t="s">
        <v>4361</v>
      </c>
      <c r="C263" s="18" t="s">
        <v>4362</v>
      </c>
      <c r="D263" s="16" t="n">
        <v>-2</v>
      </c>
      <c r="E263" s="18" t="s">
        <v>3255</v>
      </c>
      <c r="F263" s="18" t="s">
        <v>4363</v>
      </c>
      <c r="G263" s="18" t="s">
        <v>4364</v>
      </c>
      <c r="H263" s="16" t="n">
        <v>440641</v>
      </c>
    </row>
    <row r="264" customFormat="false" ht="15" hidden="false" customHeight="false" outlineLevel="0" collapsed="false">
      <c r="A264" s="18" t="s">
        <v>4365</v>
      </c>
      <c r="B264" s="18" t="s">
        <v>4366</v>
      </c>
      <c r="C264" s="18" t="s">
        <v>4367</v>
      </c>
      <c r="D264" s="16" t="n">
        <v>-2</v>
      </c>
      <c r="E264" s="18" t="s">
        <v>3255</v>
      </c>
      <c r="F264" s="18" t="s">
        <v>4368</v>
      </c>
      <c r="G264" s="18" t="s">
        <v>4369</v>
      </c>
      <c r="H264" s="16" t="n">
        <v>439154</v>
      </c>
    </row>
    <row r="265" customFormat="false" ht="15" hidden="false" customHeight="false" outlineLevel="0" collapsed="false">
      <c r="A265" s="18" t="s">
        <v>4370</v>
      </c>
      <c r="B265" s="18" t="s">
        <v>4371</v>
      </c>
      <c r="C265" s="18" t="s">
        <v>4372</v>
      </c>
      <c r="D265" s="16" t="n">
        <v>-2</v>
      </c>
      <c r="E265" s="18" t="s">
        <v>3255</v>
      </c>
      <c r="F265" s="18" t="s">
        <v>4373</v>
      </c>
      <c r="G265" s="18" t="s">
        <v>4374</v>
      </c>
      <c r="H265" s="16" t="n">
        <v>439491</v>
      </c>
    </row>
    <row r="266" customFormat="false" ht="15" hidden="false" customHeight="false" outlineLevel="0" collapsed="false">
      <c r="A266" s="18" t="s">
        <v>4375</v>
      </c>
      <c r="B266" s="18" t="s">
        <v>4376</v>
      </c>
      <c r="D266" s="16" t="n">
        <v>0</v>
      </c>
      <c r="E266" s="18" t="s">
        <v>3255</v>
      </c>
    </row>
    <row r="267" customFormat="false" ht="15" hidden="false" customHeight="false" outlineLevel="0" collapsed="false">
      <c r="A267" s="18" t="s">
        <v>4377</v>
      </c>
      <c r="B267" s="18" t="s">
        <v>4378</v>
      </c>
      <c r="D267" s="16" t="n">
        <v>0</v>
      </c>
      <c r="E267" s="18" t="s">
        <v>3255</v>
      </c>
    </row>
    <row r="268" customFormat="false" ht="15" hidden="false" customHeight="false" outlineLevel="0" collapsed="false">
      <c r="A268" s="18" t="s">
        <v>4379</v>
      </c>
      <c r="B268" s="18" t="s">
        <v>4380</v>
      </c>
      <c r="C268" s="18" t="s">
        <v>4381</v>
      </c>
      <c r="D268" s="16" t="n">
        <v>-4</v>
      </c>
      <c r="E268" s="18" t="s">
        <v>3255</v>
      </c>
      <c r="F268" s="18" t="s">
        <v>4382</v>
      </c>
      <c r="G268" s="18" t="s">
        <v>4383</v>
      </c>
      <c r="H268" s="16" t="n">
        <v>10267</v>
      </c>
    </row>
    <row r="269" customFormat="false" ht="15" hidden="false" customHeight="false" outlineLevel="0" collapsed="false">
      <c r="A269" s="18" t="s">
        <v>4384</v>
      </c>
      <c r="B269" s="18" t="s">
        <v>4385</v>
      </c>
      <c r="C269" s="18" t="s">
        <v>4386</v>
      </c>
      <c r="D269" s="16" t="n">
        <v>2</v>
      </c>
      <c r="E269" s="18" t="s">
        <v>3255</v>
      </c>
      <c r="F269" s="18" t="s">
        <v>4387</v>
      </c>
      <c r="G269" s="18" t="s">
        <v>4388</v>
      </c>
      <c r="H269" s="16" t="n">
        <v>27284</v>
      </c>
    </row>
    <row r="270" customFormat="false" ht="15" hidden="false" customHeight="false" outlineLevel="0" collapsed="false">
      <c r="A270" s="18" t="s">
        <v>4389</v>
      </c>
      <c r="B270" s="18" t="s">
        <v>4385</v>
      </c>
      <c r="C270" s="18" t="s">
        <v>4386</v>
      </c>
      <c r="D270" s="16" t="n">
        <v>2</v>
      </c>
      <c r="E270" s="18" t="s">
        <v>3592</v>
      </c>
      <c r="F270" s="18" t="s">
        <v>4387</v>
      </c>
      <c r="G270" s="18" t="s">
        <v>4388</v>
      </c>
      <c r="H270" s="16" t="n">
        <v>27284</v>
      </c>
    </row>
    <row r="271" customFormat="false" ht="15" hidden="false" customHeight="false" outlineLevel="0" collapsed="false">
      <c r="A271" s="18" t="s">
        <v>4390</v>
      </c>
      <c r="B271" s="18" t="s">
        <v>4385</v>
      </c>
      <c r="C271" s="18" t="s">
        <v>4386</v>
      </c>
      <c r="D271" s="16" t="n">
        <v>2</v>
      </c>
      <c r="E271" s="18" t="s">
        <v>3594</v>
      </c>
      <c r="F271" s="18" t="s">
        <v>4387</v>
      </c>
      <c r="G271" s="18" t="s">
        <v>4388</v>
      </c>
      <c r="H271" s="16" t="n">
        <v>27284</v>
      </c>
    </row>
    <row r="272" customFormat="false" ht="15" hidden="false" customHeight="false" outlineLevel="0" collapsed="false">
      <c r="A272" s="18" t="s">
        <v>4391</v>
      </c>
      <c r="B272" s="18" t="s">
        <v>4392</v>
      </c>
      <c r="C272" s="18" t="s">
        <v>4386</v>
      </c>
      <c r="D272" s="16" t="n">
        <v>3</v>
      </c>
      <c r="E272" s="18" t="s">
        <v>3255</v>
      </c>
      <c r="F272" s="18" t="s">
        <v>4393</v>
      </c>
      <c r="G272" s="18" t="s">
        <v>4394</v>
      </c>
      <c r="H272" s="16" t="n">
        <v>29936</v>
      </c>
    </row>
    <row r="273" customFormat="false" ht="15" hidden="false" customHeight="false" outlineLevel="0" collapsed="false">
      <c r="A273" s="18" t="s">
        <v>4395</v>
      </c>
      <c r="B273" s="18" t="s">
        <v>4392</v>
      </c>
      <c r="C273" s="18" t="s">
        <v>4386</v>
      </c>
      <c r="D273" s="16" t="n">
        <v>3</v>
      </c>
      <c r="E273" s="18" t="s">
        <v>3592</v>
      </c>
      <c r="F273" s="18" t="s">
        <v>4393</v>
      </c>
      <c r="G273" s="18" t="s">
        <v>4394</v>
      </c>
      <c r="H273" s="16" t="n">
        <v>29936</v>
      </c>
    </row>
    <row r="274" customFormat="false" ht="15" hidden="false" customHeight="false" outlineLevel="0" collapsed="false">
      <c r="A274" s="18" t="s">
        <v>4396</v>
      </c>
      <c r="B274" s="18" t="s">
        <v>4392</v>
      </c>
      <c r="C274" s="18" t="s">
        <v>4386</v>
      </c>
      <c r="D274" s="16" t="n">
        <v>3</v>
      </c>
      <c r="E274" s="18" t="s">
        <v>3594</v>
      </c>
      <c r="F274" s="18" t="s">
        <v>4393</v>
      </c>
      <c r="G274" s="18" t="s">
        <v>4394</v>
      </c>
      <c r="H274" s="16" t="n">
        <v>29936</v>
      </c>
    </row>
    <row r="275" customFormat="false" ht="15" hidden="false" customHeight="false" outlineLevel="0" collapsed="false">
      <c r="A275" s="18" t="s">
        <v>4397</v>
      </c>
      <c r="B275" s="18" t="s">
        <v>4398</v>
      </c>
      <c r="C275" s="18" t="s">
        <v>4399</v>
      </c>
      <c r="D275" s="16" t="n">
        <v>-2</v>
      </c>
      <c r="E275" s="18" t="s">
        <v>3255</v>
      </c>
      <c r="F275" s="18" t="s">
        <v>4400</v>
      </c>
      <c r="G275" s="18" t="s">
        <v>4401</v>
      </c>
      <c r="H275" s="16" t="n">
        <v>440313</v>
      </c>
    </row>
    <row r="276" customFormat="false" ht="15" hidden="false" customHeight="false" outlineLevel="0" collapsed="false">
      <c r="A276" s="18" t="s">
        <v>4402</v>
      </c>
      <c r="B276" s="18" t="s">
        <v>4403</v>
      </c>
      <c r="C276" s="18" t="s">
        <v>4404</v>
      </c>
      <c r="D276" s="16" t="n">
        <v>-2</v>
      </c>
      <c r="E276" s="18" t="s">
        <v>3255</v>
      </c>
      <c r="F276" s="18" t="s">
        <v>4405</v>
      </c>
      <c r="G276" s="18" t="s">
        <v>4406</v>
      </c>
      <c r="H276" s="16" t="n">
        <v>710</v>
      </c>
    </row>
    <row r="277" customFormat="false" ht="15" hidden="false" customHeight="false" outlineLevel="0" collapsed="false">
      <c r="A277" s="18" t="s">
        <v>4407</v>
      </c>
      <c r="B277" s="18" t="s">
        <v>4408</v>
      </c>
      <c r="C277" s="18" t="s">
        <v>4409</v>
      </c>
      <c r="D277" s="16" t="n">
        <v>-1</v>
      </c>
      <c r="E277" s="18" t="s">
        <v>3255</v>
      </c>
      <c r="F277" s="18" t="s">
        <v>4410</v>
      </c>
      <c r="G277" s="18" t="s">
        <v>4411</v>
      </c>
      <c r="H277" s="16" t="n">
        <v>284</v>
      </c>
    </row>
    <row r="278" customFormat="false" ht="15" hidden="false" customHeight="false" outlineLevel="0" collapsed="false">
      <c r="A278" s="18" t="s">
        <v>4412</v>
      </c>
      <c r="B278" s="18" t="s">
        <v>4413</v>
      </c>
      <c r="C278" s="18" t="s">
        <v>4414</v>
      </c>
      <c r="D278" s="16" t="n">
        <v>-1</v>
      </c>
      <c r="E278" s="18" t="s">
        <v>3255</v>
      </c>
      <c r="F278" s="18" t="s">
        <v>4415</v>
      </c>
      <c r="G278" s="18" t="s">
        <v>4416</v>
      </c>
      <c r="H278" s="16" t="n">
        <v>9552078</v>
      </c>
    </row>
    <row r="279" customFormat="false" ht="15" hidden="false" customHeight="false" outlineLevel="0" collapsed="false">
      <c r="A279" s="18" t="s">
        <v>4417</v>
      </c>
      <c r="B279" s="18" t="s">
        <v>4418</v>
      </c>
      <c r="C279" s="18" t="s">
        <v>4419</v>
      </c>
      <c r="D279" s="16" t="n">
        <v>-2</v>
      </c>
      <c r="E279" s="18" t="s">
        <v>3255</v>
      </c>
      <c r="F279" s="18" t="s">
        <v>4420</v>
      </c>
      <c r="G279" s="18" t="s">
        <v>4421</v>
      </c>
      <c r="H279" s="16" t="n">
        <v>166760</v>
      </c>
    </row>
    <row r="280" customFormat="false" ht="15" hidden="false" customHeight="false" outlineLevel="0" collapsed="false">
      <c r="A280" s="18" t="s">
        <v>4422</v>
      </c>
      <c r="B280" s="18" t="s">
        <v>4423</v>
      </c>
      <c r="C280" s="18" t="s">
        <v>4424</v>
      </c>
      <c r="D280" s="16" t="n">
        <v>-3</v>
      </c>
      <c r="E280" s="18" t="s">
        <v>3255</v>
      </c>
      <c r="F280" s="18" t="s">
        <v>4425</v>
      </c>
      <c r="G280" s="18" t="s">
        <v>4426</v>
      </c>
      <c r="H280" s="16" t="n">
        <v>445713</v>
      </c>
    </row>
    <row r="281" customFormat="false" ht="15" hidden="false" customHeight="false" outlineLevel="0" collapsed="false">
      <c r="A281" s="18" t="s">
        <v>4427</v>
      </c>
      <c r="B281" s="18" t="s">
        <v>4428</v>
      </c>
      <c r="C281" s="18" t="s">
        <v>4429</v>
      </c>
      <c r="D281" s="16" t="n">
        <v>-2</v>
      </c>
      <c r="E281" s="18" t="s">
        <v>3255</v>
      </c>
      <c r="F281" s="18" t="s">
        <v>4430</v>
      </c>
      <c r="G281" s="18" t="s">
        <v>4431</v>
      </c>
      <c r="H281" s="16" t="n">
        <v>444972</v>
      </c>
    </row>
    <row r="282" customFormat="false" ht="15" hidden="false" customHeight="false" outlineLevel="0" collapsed="false">
      <c r="A282" s="18" t="s">
        <v>4432</v>
      </c>
      <c r="B282" s="18" t="s">
        <v>4433</v>
      </c>
      <c r="C282" s="18" t="s">
        <v>4362</v>
      </c>
      <c r="D282" s="16" t="n">
        <v>-2</v>
      </c>
      <c r="E282" s="18" t="s">
        <v>3255</v>
      </c>
      <c r="F282" s="18" t="s">
        <v>4434</v>
      </c>
      <c r="G282" s="18" t="s">
        <v>4435</v>
      </c>
      <c r="H282" s="16" t="n">
        <v>122250</v>
      </c>
    </row>
    <row r="283" customFormat="false" ht="15" hidden="false" customHeight="false" outlineLevel="0" collapsed="false">
      <c r="A283" s="18" t="s">
        <v>4436</v>
      </c>
      <c r="B283" s="18" t="s">
        <v>4437</v>
      </c>
      <c r="C283" s="18" t="s">
        <v>4362</v>
      </c>
      <c r="D283" s="16" t="n">
        <v>-2</v>
      </c>
      <c r="E283" s="18" t="s">
        <v>3255</v>
      </c>
      <c r="F283" s="18" t="s">
        <v>4438</v>
      </c>
      <c r="G283" s="18" t="s">
        <v>4439</v>
      </c>
      <c r="H283" s="16" t="n">
        <v>65533</v>
      </c>
    </row>
    <row r="284" customFormat="false" ht="15" hidden="false" customHeight="false" outlineLevel="0" collapsed="false">
      <c r="A284" s="18" t="s">
        <v>4440</v>
      </c>
      <c r="B284" s="18" t="s">
        <v>4441</v>
      </c>
      <c r="C284" s="18" t="s">
        <v>4206</v>
      </c>
      <c r="D284" s="16" t="n">
        <v>-2</v>
      </c>
      <c r="E284" s="18" t="s">
        <v>3255</v>
      </c>
      <c r="F284" s="18" t="s">
        <v>4442</v>
      </c>
      <c r="G284" s="18" t="s">
        <v>4443</v>
      </c>
      <c r="H284" s="16" t="n">
        <v>439168</v>
      </c>
    </row>
    <row r="285" customFormat="false" ht="15" hidden="false" customHeight="false" outlineLevel="0" collapsed="false">
      <c r="A285" s="18" t="s">
        <v>4444</v>
      </c>
      <c r="B285" s="18" t="s">
        <v>4445</v>
      </c>
      <c r="C285" s="18" t="s">
        <v>4362</v>
      </c>
      <c r="D285" s="16" t="n">
        <v>-2</v>
      </c>
      <c r="E285" s="18" t="s">
        <v>3255</v>
      </c>
      <c r="F285" s="18" t="s">
        <v>4446</v>
      </c>
      <c r="G285" s="18" t="s">
        <v>4447</v>
      </c>
      <c r="H285" s="16" t="n">
        <v>439284</v>
      </c>
    </row>
    <row r="286" customFormat="false" ht="15" hidden="false" customHeight="false" outlineLevel="0" collapsed="false">
      <c r="A286" s="18" t="s">
        <v>4448</v>
      </c>
      <c r="B286" s="18" t="s">
        <v>4449</v>
      </c>
      <c r="C286" s="18" t="s">
        <v>4362</v>
      </c>
      <c r="D286" s="16" t="n">
        <v>-2</v>
      </c>
      <c r="E286" s="18" t="s">
        <v>3255</v>
      </c>
      <c r="F286" s="18" t="s">
        <v>4450</v>
      </c>
      <c r="G286" s="18" t="s">
        <v>4451</v>
      </c>
      <c r="H286" s="16" t="n">
        <v>439427</v>
      </c>
    </row>
    <row r="287" customFormat="false" ht="15" hidden="false" customHeight="false" outlineLevel="0" collapsed="false">
      <c r="A287" s="18" t="s">
        <v>4452</v>
      </c>
      <c r="B287" s="18" t="s">
        <v>4453</v>
      </c>
      <c r="C287" s="18" t="s">
        <v>4454</v>
      </c>
      <c r="D287" s="16" t="n">
        <v>-1</v>
      </c>
      <c r="E287" s="18" t="s">
        <v>3255</v>
      </c>
      <c r="F287" s="18" t="s">
        <v>4455</v>
      </c>
      <c r="G287" s="18" t="s">
        <v>4456</v>
      </c>
      <c r="H287" s="16" t="n">
        <v>188960</v>
      </c>
    </row>
    <row r="288" customFormat="false" ht="15" hidden="false" customHeight="false" outlineLevel="0" collapsed="false">
      <c r="A288" s="18" t="s">
        <v>4457</v>
      </c>
      <c r="B288" s="18" t="s">
        <v>4458</v>
      </c>
      <c r="C288" s="18" t="s">
        <v>4454</v>
      </c>
      <c r="D288" s="16" t="n">
        <v>-1</v>
      </c>
      <c r="E288" s="18" t="s">
        <v>3255</v>
      </c>
      <c r="F288" s="18" t="s">
        <v>4459</v>
      </c>
      <c r="G288" s="18" t="s">
        <v>4460</v>
      </c>
      <c r="H288" s="16" t="n">
        <v>439217</v>
      </c>
    </row>
    <row r="289" customFormat="false" ht="15" hidden="false" customHeight="false" outlineLevel="0" collapsed="false">
      <c r="A289" s="18" t="s">
        <v>4461</v>
      </c>
      <c r="B289" s="18" t="s">
        <v>4462</v>
      </c>
      <c r="C289" s="18" t="s">
        <v>4463</v>
      </c>
      <c r="D289" s="16" t="n">
        <v>1</v>
      </c>
      <c r="E289" s="18" t="s">
        <v>3255</v>
      </c>
      <c r="F289" s="18" t="s">
        <v>4464</v>
      </c>
      <c r="G289" s="18" t="s">
        <v>4465</v>
      </c>
      <c r="H289" s="16" t="n">
        <v>439213</v>
      </c>
    </row>
    <row r="290" customFormat="false" ht="15" hidden="false" customHeight="false" outlineLevel="0" collapsed="false">
      <c r="A290" s="18" t="s">
        <v>4466</v>
      </c>
      <c r="B290" s="18" t="s">
        <v>4467</v>
      </c>
      <c r="C290" s="18" t="s">
        <v>4468</v>
      </c>
      <c r="D290" s="16" t="n">
        <v>-1</v>
      </c>
      <c r="E290" s="18" t="s">
        <v>3255</v>
      </c>
      <c r="F290" s="18" t="s">
        <v>4469</v>
      </c>
      <c r="G290" s="18" t="s">
        <v>4470</v>
      </c>
      <c r="H290" s="16" t="n">
        <v>440137</v>
      </c>
    </row>
    <row r="291" customFormat="false" ht="15" hidden="false" customHeight="false" outlineLevel="0" collapsed="false">
      <c r="A291" s="18" t="s">
        <v>4471</v>
      </c>
      <c r="B291" s="18" t="s">
        <v>4472</v>
      </c>
      <c r="C291" s="18" t="s">
        <v>4473</v>
      </c>
      <c r="D291" s="16" t="n">
        <v>0</v>
      </c>
      <c r="E291" s="18" t="s">
        <v>3255</v>
      </c>
      <c r="F291" s="18" t="s">
        <v>4474</v>
      </c>
      <c r="G291" s="18" t="s">
        <v>4475</v>
      </c>
      <c r="H291" s="16" t="n">
        <v>756</v>
      </c>
    </row>
    <row r="292" customFormat="false" ht="15" hidden="false" customHeight="false" outlineLevel="0" collapsed="false">
      <c r="A292" s="18" t="s">
        <v>4476</v>
      </c>
      <c r="B292" s="18" t="s">
        <v>4477</v>
      </c>
      <c r="C292" s="18" t="s">
        <v>4478</v>
      </c>
      <c r="D292" s="16" t="n">
        <v>-3</v>
      </c>
      <c r="E292" s="18" t="s">
        <v>3255</v>
      </c>
      <c r="F292" s="18" t="s">
        <v>4479</v>
      </c>
      <c r="G292" s="18" t="s">
        <v>4480</v>
      </c>
      <c r="H292" s="16" t="n">
        <v>8977</v>
      </c>
    </row>
    <row r="293" customFormat="false" ht="15" hidden="false" customHeight="false" outlineLevel="0" collapsed="false">
      <c r="A293" s="18" t="s">
        <v>4481</v>
      </c>
      <c r="B293" s="18" t="s">
        <v>4482</v>
      </c>
      <c r="C293" s="18" t="s">
        <v>4483</v>
      </c>
      <c r="D293" s="16" t="n">
        <v>-1</v>
      </c>
      <c r="E293" s="18" t="s">
        <v>3255</v>
      </c>
      <c r="F293" s="18" t="s">
        <v>4484</v>
      </c>
      <c r="G293" s="18" t="s">
        <v>4485</v>
      </c>
      <c r="H293" s="16" t="n">
        <v>439446</v>
      </c>
    </row>
    <row r="294" customFormat="false" ht="15" hidden="false" customHeight="false" outlineLevel="0" collapsed="false">
      <c r="A294" s="18" t="s">
        <v>4486</v>
      </c>
      <c r="B294" s="18" t="s">
        <v>4487</v>
      </c>
      <c r="C294" s="18" t="s">
        <v>4488</v>
      </c>
      <c r="D294" s="16" t="n">
        <v>-1</v>
      </c>
      <c r="E294" s="18" t="s">
        <v>3255</v>
      </c>
      <c r="F294" s="18" t="s">
        <v>4489</v>
      </c>
      <c r="G294" s="18" t="s">
        <v>4490</v>
      </c>
      <c r="H294" s="16" t="n">
        <v>439211</v>
      </c>
    </row>
    <row r="295" customFormat="false" ht="15" hidden="false" customHeight="false" outlineLevel="0" collapsed="false">
      <c r="A295" s="18" t="s">
        <v>4491</v>
      </c>
      <c r="B295" s="18" t="s">
        <v>4492</v>
      </c>
      <c r="C295" s="18" t="s">
        <v>4493</v>
      </c>
      <c r="D295" s="16" t="n">
        <v>-1</v>
      </c>
      <c r="E295" s="18" t="s">
        <v>3255</v>
      </c>
      <c r="F295" s="18" t="s">
        <v>4494</v>
      </c>
      <c r="G295" s="18" t="s">
        <v>4495</v>
      </c>
      <c r="H295" s="16" t="n">
        <v>18396</v>
      </c>
    </row>
    <row r="296" customFormat="false" ht="15" hidden="false" customHeight="false" outlineLevel="0" collapsed="false">
      <c r="A296" s="18" t="s">
        <v>4496</v>
      </c>
      <c r="B296" s="18" t="s">
        <v>4497</v>
      </c>
      <c r="C296" s="18" t="s">
        <v>4498</v>
      </c>
      <c r="D296" s="16" t="n">
        <v>0</v>
      </c>
      <c r="E296" s="18" t="s">
        <v>3255</v>
      </c>
      <c r="F296" s="18" t="s">
        <v>4499</v>
      </c>
      <c r="G296" s="18" t="s">
        <v>4500</v>
      </c>
      <c r="H296" s="16" t="n">
        <v>79025</v>
      </c>
    </row>
    <row r="297" customFormat="false" ht="15" hidden="false" customHeight="false" outlineLevel="0" collapsed="false">
      <c r="A297" s="18" t="s">
        <v>4501</v>
      </c>
      <c r="B297" s="18" t="s">
        <v>4502</v>
      </c>
      <c r="C297" s="18" t="s">
        <v>4498</v>
      </c>
      <c r="D297" s="16" t="n">
        <v>0</v>
      </c>
      <c r="E297" s="18" t="s">
        <v>3255</v>
      </c>
      <c r="F297" s="18" t="s">
        <v>4503</v>
      </c>
      <c r="G297" s="18" t="s">
        <v>4504</v>
      </c>
      <c r="H297" s="16" t="n">
        <v>64689</v>
      </c>
    </row>
    <row r="298" customFormat="false" ht="15" hidden="false" customHeight="false" outlineLevel="0" collapsed="false">
      <c r="A298" s="18" t="s">
        <v>4505</v>
      </c>
      <c r="B298" s="18" t="s">
        <v>4506</v>
      </c>
      <c r="C298" s="18" t="s">
        <v>4507</v>
      </c>
      <c r="D298" s="16" t="n">
        <v>0</v>
      </c>
      <c r="E298" s="18" t="s">
        <v>3255</v>
      </c>
      <c r="F298" s="18" t="s">
        <v>4508</v>
      </c>
      <c r="G298" s="18" t="s">
        <v>4509</v>
      </c>
      <c r="H298" s="16" t="n">
        <v>5961</v>
      </c>
    </row>
    <row r="299" customFormat="false" ht="15" hidden="false" customHeight="false" outlineLevel="0" collapsed="false">
      <c r="A299" s="18" t="s">
        <v>4510</v>
      </c>
      <c r="B299" s="18" t="s">
        <v>4511</v>
      </c>
      <c r="C299" s="18" t="s">
        <v>4512</v>
      </c>
      <c r="D299" s="16" t="n">
        <v>-1</v>
      </c>
      <c r="E299" s="18" t="s">
        <v>3255</v>
      </c>
      <c r="F299" s="18" t="s">
        <v>4513</v>
      </c>
      <c r="G299" s="18" t="s">
        <v>4514</v>
      </c>
      <c r="H299" s="16" t="n">
        <v>23327</v>
      </c>
    </row>
    <row r="300" customFormat="false" ht="15" hidden="false" customHeight="false" outlineLevel="0" collapsed="false">
      <c r="A300" s="18" t="s">
        <v>4515</v>
      </c>
      <c r="B300" s="18" t="s">
        <v>4516</v>
      </c>
      <c r="C300" s="18" t="s">
        <v>4512</v>
      </c>
      <c r="D300" s="16" t="n">
        <v>-1</v>
      </c>
      <c r="E300" s="18" t="s">
        <v>3255</v>
      </c>
      <c r="F300" s="18" t="s">
        <v>4517</v>
      </c>
      <c r="G300" s="18" t="s">
        <v>4518</v>
      </c>
      <c r="H300" s="16" t="n">
        <v>33032</v>
      </c>
    </row>
    <row r="301" customFormat="false" ht="15" hidden="false" customHeight="false" outlineLevel="0" collapsed="false">
      <c r="A301" s="18" t="s">
        <v>4519</v>
      </c>
      <c r="B301" s="18" t="s">
        <v>4520</v>
      </c>
      <c r="C301" s="18" t="s">
        <v>3650</v>
      </c>
      <c r="D301" s="16" t="n">
        <v>0</v>
      </c>
      <c r="E301" s="18" t="s">
        <v>3255</v>
      </c>
      <c r="F301" s="18" t="s">
        <v>4521</v>
      </c>
      <c r="G301" s="18" t="s">
        <v>4522</v>
      </c>
      <c r="H301" s="16" t="n">
        <v>129297</v>
      </c>
    </row>
    <row r="302" customFormat="false" ht="15" hidden="false" customHeight="false" outlineLevel="0" collapsed="false">
      <c r="A302" s="18" t="s">
        <v>4523</v>
      </c>
      <c r="B302" s="18" t="s">
        <v>4524</v>
      </c>
      <c r="C302" s="18" t="s">
        <v>4525</v>
      </c>
      <c r="D302" s="16" t="n">
        <v>-2</v>
      </c>
      <c r="E302" s="18" t="s">
        <v>3255</v>
      </c>
      <c r="F302" s="18" t="s">
        <v>4526</v>
      </c>
      <c r="G302" s="18" t="s">
        <v>4527</v>
      </c>
      <c r="H302" s="16" t="n">
        <v>193475</v>
      </c>
    </row>
    <row r="303" customFormat="false" ht="15" hidden="false" customHeight="false" outlineLevel="0" collapsed="false">
      <c r="A303" s="18" t="s">
        <v>4528</v>
      </c>
      <c r="B303" s="18" t="s">
        <v>4529</v>
      </c>
      <c r="C303" s="18" t="s">
        <v>3650</v>
      </c>
      <c r="D303" s="16" t="n">
        <v>0</v>
      </c>
      <c r="E303" s="18" t="s">
        <v>3255</v>
      </c>
      <c r="F303" s="18" t="s">
        <v>4530</v>
      </c>
      <c r="G303" s="18" t="s">
        <v>4531</v>
      </c>
      <c r="H303" s="16" t="n">
        <v>193305</v>
      </c>
    </row>
    <row r="304" customFormat="false" ht="15" hidden="false" customHeight="false" outlineLevel="0" collapsed="false">
      <c r="A304" s="18" t="s">
        <v>4532</v>
      </c>
      <c r="B304" s="18" t="s">
        <v>4533</v>
      </c>
      <c r="C304" s="18" t="s">
        <v>4534</v>
      </c>
      <c r="D304" s="16" t="n">
        <v>-1</v>
      </c>
      <c r="E304" s="18" t="s">
        <v>3255</v>
      </c>
      <c r="F304" s="18" t="s">
        <v>4535</v>
      </c>
      <c r="G304" s="18" t="s">
        <v>4536</v>
      </c>
      <c r="H304" s="16" t="n">
        <v>123938</v>
      </c>
    </row>
    <row r="305" customFormat="false" ht="15" hidden="false" customHeight="false" outlineLevel="0" collapsed="false">
      <c r="A305" s="18" t="s">
        <v>4537</v>
      </c>
      <c r="B305" s="18" t="s">
        <v>4538</v>
      </c>
      <c r="C305" s="18" t="s">
        <v>4539</v>
      </c>
      <c r="D305" s="16" t="n">
        <v>-1</v>
      </c>
      <c r="E305" s="18" t="s">
        <v>3255</v>
      </c>
      <c r="F305" s="18" t="s">
        <v>4540</v>
      </c>
      <c r="G305" s="18" t="s">
        <v>4541</v>
      </c>
      <c r="H305" s="16" t="n">
        <v>760</v>
      </c>
    </row>
    <row r="306" customFormat="false" ht="15" hidden="false" customHeight="false" outlineLevel="0" collapsed="false">
      <c r="A306" s="18" t="s">
        <v>4542</v>
      </c>
      <c r="B306" s="18" t="s">
        <v>4543</v>
      </c>
      <c r="C306" s="18" t="s">
        <v>4544</v>
      </c>
      <c r="D306" s="16" t="n">
        <v>0</v>
      </c>
      <c r="E306" s="18" t="s">
        <v>3255</v>
      </c>
      <c r="F306" s="18" t="s">
        <v>4545</v>
      </c>
      <c r="G306" s="18" t="s">
        <v>4546</v>
      </c>
      <c r="H306" s="16" t="n">
        <v>750</v>
      </c>
    </row>
    <row r="307" customFormat="false" ht="15" hidden="false" customHeight="false" outlineLevel="0" collapsed="false">
      <c r="A307" s="18" t="s">
        <v>4547</v>
      </c>
      <c r="B307" s="18" t="s">
        <v>4548</v>
      </c>
      <c r="C307" s="18" t="s">
        <v>4549</v>
      </c>
      <c r="D307" s="16" t="n">
        <v>-1</v>
      </c>
      <c r="E307" s="18" t="s">
        <v>3255</v>
      </c>
      <c r="F307" s="18" t="s">
        <v>4550</v>
      </c>
      <c r="G307" s="18" t="s">
        <v>4551</v>
      </c>
      <c r="H307" s="16" t="n">
        <v>439194</v>
      </c>
    </row>
    <row r="308" customFormat="false" ht="15" hidden="false" customHeight="false" outlineLevel="0" collapsed="false">
      <c r="A308" s="18" t="s">
        <v>4552</v>
      </c>
      <c r="B308" s="18" t="s">
        <v>4553</v>
      </c>
      <c r="C308" s="18" t="s">
        <v>4554</v>
      </c>
      <c r="D308" s="16" t="n">
        <v>-2</v>
      </c>
      <c r="E308" s="18" t="s">
        <v>3255</v>
      </c>
      <c r="F308" s="18" t="s">
        <v>4555</v>
      </c>
      <c r="G308" s="18" t="s">
        <v>4556</v>
      </c>
      <c r="H308" s="16" t="n">
        <v>439162</v>
      </c>
    </row>
    <row r="309" customFormat="false" ht="15" hidden="false" customHeight="false" outlineLevel="0" collapsed="false">
      <c r="A309" s="18" t="s">
        <v>4557</v>
      </c>
      <c r="B309" s="18" t="s">
        <v>4558</v>
      </c>
      <c r="C309" s="18" t="s">
        <v>4559</v>
      </c>
      <c r="D309" s="16" t="n">
        <v>0</v>
      </c>
      <c r="E309" s="18" t="s">
        <v>3255</v>
      </c>
      <c r="F309" s="18" t="s">
        <v>4560</v>
      </c>
      <c r="G309" s="18" t="s">
        <v>4561</v>
      </c>
      <c r="H309" s="16" t="n">
        <v>753</v>
      </c>
    </row>
    <row r="310" customFormat="false" ht="15" hidden="false" customHeight="false" outlineLevel="0" collapsed="false">
      <c r="A310" s="18" t="s">
        <v>4562</v>
      </c>
      <c r="B310" s="18" t="s">
        <v>4563</v>
      </c>
      <c r="C310" s="18" t="s">
        <v>4564</v>
      </c>
      <c r="D310" s="16" t="n">
        <v>-1</v>
      </c>
      <c r="E310" s="18" t="s">
        <v>3255</v>
      </c>
      <c r="F310" s="18" t="s">
        <v>4565</v>
      </c>
      <c r="G310" s="18" t="s">
        <v>4566</v>
      </c>
      <c r="H310" s="16" t="n">
        <v>757</v>
      </c>
    </row>
    <row r="311" customFormat="false" ht="15" hidden="false" customHeight="false" outlineLevel="0" collapsed="false">
      <c r="A311" s="18" t="s">
        <v>4567</v>
      </c>
      <c r="B311" s="18" t="s">
        <v>4568</v>
      </c>
      <c r="C311" s="18" t="s">
        <v>4569</v>
      </c>
      <c r="D311" s="16" t="n">
        <v>0</v>
      </c>
      <c r="E311" s="18" t="s">
        <v>3255</v>
      </c>
      <c r="F311" s="18" t="s">
        <v>4570</v>
      </c>
      <c r="G311" s="18" t="s">
        <v>4571</v>
      </c>
      <c r="H311" s="16" t="n">
        <v>439177</v>
      </c>
    </row>
    <row r="312" customFormat="false" ht="15" hidden="false" customHeight="false" outlineLevel="0" collapsed="false">
      <c r="A312" s="18" t="s">
        <v>4572</v>
      </c>
      <c r="B312" s="18" t="s">
        <v>4573</v>
      </c>
      <c r="C312" s="18" t="s">
        <v>4574</v>
      </c>
      <c r="D312" s="16" t="n">
        <v>0</v>
      </c>
      <c r="E312" s="18" t="s">
        <v>3255</v>
      </c>
    </row>
    <row r="313" customFormat="false" ht="15" hidden="false" customHeight="false" outlineLevel="0" collapsed="false">
      <c r="A313" s="18" t="s">
        <v>4575</v>
      </c>
      <c r="B313" s="18" t="s">
        <v>4576</v>
      </c>
      <c r="C313" s="18" t="s">
        <v>4577</v>
      </c>
      <c r="D313" s="16" t="n">
        <v>-4</v>
      </c>
      <c r="E313" s="18" t="s">
        <v>3255</v>
      </c>
      <c r="F313" s="18" t="s">
        <v>4578</v>
      </c>
      <c r="G313" s="18" t="s">
        <v>4579</v>
      </c>
      <c r="H313" s="16" t="n">
        <v>443223</v>
      </c>
    </row>
    <row r="314" customFormat="false" ht="15" hidden="false" customHeight="false" outlineLevel="0" collapsed="false">
      <c r="A314" s="18" t="s">
        <v>4580</v>
      </c>
      <c r="B314" s="18" t="s">
        <v>4581</v>
      </c>
      <c r="C314" s="18" t="s">
        <v>4582</v>
      </c>
      <c r="D314" s="16" t="n">
        <v>-2</v>
      </c>
      <c r="E314" s="18" t="s">
        <v>3255</v>
      </c>
      <c r="F314" s="18" t="s">
        <v>4583</v>
      </c>
      <c r="G314" s="18" t="s">
        <v>4584</v>
      </c>
      <c r="H314" s="16" t="n">
        <v>441340</v>
      </c>
    </row>
    <row r="315" customFormat="false" ht="15" hidden="false" customHeight="false" outlineLevel="0" collapsed="false">
      <c r="A315" s="18" t="s">
        <v>4585</v>
      </c>
      <c r="B315" s="18" t="s">
        <v>4586</v>
      </c>
      <c r="C315" s="18" t="s">
        <v>4582</v>
      </c>
      <c r="D315" s="16" t="n">
        <v>-2</v>
      </c>
      <c r="E315" s="18" t="s">
        <v>3255</v>
      </c>
      <c r="F315" s="18" t="s">
        <v>4587</v>
      </c>
      <c r="G315" s="18" t="s">
        <v>4588</v>
      </c>
      <c r="H315" s="16" t="n">
        <v>441339</v>
      </c>
    </row>
    <row r="316" customFormat="false" ht="15" hidden="false" customHeight="false" outlineLevel="0" collapsed="false">
      <c r="A316" s="18" t="s">
        <v>4589</v>
      </c>
      <c r="B316" s="18" t="s">
        <v>4590</v>
      </c>
      <c r="C316" s="18" t="s">
        <v>4591</v>
      </c>
      <c r="D316" s="16" t="n">
        <v>-2</v>
      </c>
      <c r="E316" s="18" t="s">
        <v>3255</v>
      </c>
      <c r="F316" s="18" t="s">
        <v>4592</v>
      </c>
      <c r="G316" s="18" t="s">
        <v>4593</v>
      </c>
      <c r="H316" s="16" t="n">
        <v>6804</v>
      </c>
    </row>
    <row r="317" customFormat="false" ht="15" hidden="false" customHeight="false" outlineLevel="0" collapsed="false">
      <c r="A317" s="18" t="s">
        <v>4594</v>
      </c>
      <c r="B317" s="18" t="s">
        <v>4595</v>
      </c>
      <c r="C317" s="18" t="s">
        <v>4596</v>
      </c>
      <c r="D317" s="16" t="n">
        <v>-3</v>
      </c>
      <c r="E317" s="18" t="s">
        <v>3255</v>
      </c>
      <c r="F317" s="18" t="s">
        <v>4597</v>
      </c>
      <c r="G317" s="18" t="s">
        <v>4598</v>
      </c>
      <c r="H317" s="16" t="n">
        <v>445995</v>
      </c>
    </row>
    <row r="318" customFormat="false" ht="15" hidden="false" customHeight="false" outlineLevel="0" collapsed="false">
      <c r="A318" s="18" t="s">
        <v>4599</v>
      </c>
      <c r="B318" s="18" t="s">
        <v>4600</v>
      </c>
      <c r="C318" s="18" t="s">
        <v>4601</v>
      </c>
      <c r="D318" s="16" t="n">
        <v>0</v>
      </c>
      <c r="E318" s="18" t="s">
        <v>3255</v>
      </c>
      <c r="F318" s="18" t="s">
        <v>4602</v>
      </c>
      <c r="G318" s="18" t="s">
        <v>4603</v>
      </c>
      <c r="H318" s="16" t="n">
        <v>6802</v>
      </c>
    </row>
    <row r="319" customFormat="false" ht="15" hidden="false" customHeight="false" outlineLevel="0" collapsed="false">
      <c r="A319" s="18" t="s">
        <v>4604</v>
      </c>
      <c r="B319" s="18" t="s">
        <v>4605</v>
      </c>
      <c r="C319" s="18" t="s">
        <v>4606</v>
      </c>
      <c r="D319" s="16" t="n">
        <v>-1</v>
      </c>
      <c r="E319" s="18" t="s">
        <v>3255</v>
      </c>
      <c r="F319" s="18" t="s">
        <v>4607</v>
      </c>
      <c r="G319" s="18" t="s">
        <v>4608</v>
      </c>
      <c r="H319" s="16" t="n">
        <v>124886</v>
      </c>
    </row>
    <row r="320" customFormat="false" ht="15" hidden="false" customHeight="false" outlineLevel="0" collapsed="false">
      <c r="A320" s="18" t="s">
        <v>4609</v>
      </c>
      <c r="B320" s="18" t="s">
        <v>4610</v>
      </c>
      <c r="C320" s="18" t="s">
        <v>4611</v>
      </c>
      <c r="D320" s="16" t="n">
        <v>-4</v>
      </c>
      <c r="E320" s="18" t="s">
        <v>3255</v>
      </c>
      <c r="F320" s="18" t="s">
        <v>4612</v>
      </c>
      <c r="G320" s="18" t="s">
        <v>4613</v>
      </c>
      <c r="H320" s="16" t="n">
        <v>6830</v>
      </c>
    </row>
    <row r="321" customFormat="false" ht="15" hidden="false" customHeight="false" outlineLevel="0" collapsed="false">
      <c r="A321" s="18" t="s">
        <v>4614</v>
      </c>
      <c r="B321" s="18" t="s">
        <v>4615</v>
      </c>
      <c r="C321" s="18" t="s">
        <v>4616</v>
      </c>
      <c r="D321" s="16" t="n">
        <v>0</v>
      </c>
      <c r="E321" s="18" t="s">
        <v>3255</v>
      </c>
      <c r="F321" s="18" t="s">
        <v>4617</v>
      </c>
      <c r="G321" s="18" t="s">
        <v>4618</v>
      </c>
      <c r="H321" s="16" t="n">
        <v>764</v>
      </c>
    </row>
    <row r="322" customFormat="false" ht="15" hidden="false" customHeight="false" outlineLevel="0" collapsed="false">
      <c r="A322" s="18" t="s">
        <v>4619</v>
      </c>
      <c r="B322" s="18" t="s">
        <v>4620</v>
      </c>
      <c r="C322" s="18" t="s">
        <v>4620</v>
      </c>
      <c r="D322" s="16" t="n">
        <v>0</v>
      </c>
      <c r="E322" s="18" t="s">
        <v>3255</v>
      </c>
      <c r="F322" s="18" t="s">
        <v>4621</v>
      </c>
      <c r="G322" s="18" t="s">
        <v>4622</v>
      </c>
      <c r="H322" s="16" t="n">
        <v>5362549</v>
      </c>
    </row>
    <row r="323" customFormat="false" ht="15" hidden="false" customHeight="false" outlineLevel="0" collapsed="false">
      <c r="A323" s="18" t="s">
        <v>4623</v>
      </c>
      <c r="B323" s="18" t="s">
        <v>4620</v>
      </c>
      <c r="C323" s="18" t="s">
        <v>4620</v>
      </c>
      <c r="D323" s="16" t="n">
        <v>0</v>
      </c>
      <c r="E323" s="18" t="s">
        <v>3592</v>
      </c>
      <c r="F323" s="18" t="s">
        <v>4621</v>
      </c>
      <c r="G323" s="18" t="s">
        <v>4622</v>
      </c>
      <c r="H323" s="16" t="n">
        <v>5362549</v>
      </c>
    </row>
    <row r="324" customFormat="false" ht="15" hidden="false" customHeight="false" outlineLevel="0" collapsed="false">
      <c r="A324" s="18" t="s">
        <v>4624</v>
      </c>
      <c r="B324" s="18" t="s">
        <v>4620</v>
      </c>
      <c r="C324" s="18" t="s">
        <v>4620</v>
      </c>
      <c r="D324" s="16" t="n">
        <v>0</v>
      </c>
      <c r="E324" s="18" t="s">
        <v>3594</v>
      </c>
      <c r="F324" s="18" t="s">
        <v>4621</v>
      </c>
      <c r="G324" s="18" t="s">
        <v>4622</v>
      </c>
      <c r="H324" s="16" t="n">
        <v>5362549</v>
      </c>
    </row>
    <row r="325" customFormat="false" ht="15" hidden="false" customHeight="false" outlineLevel="0" collapsed="false">
      <c r="A325" s="18" t="s">
        <v>4625</v>
      </c>
      <c r="B325" s="18" t="s">
        <v>4626</v>
      </c>
      <c r="C325" s="18" t="s">
        <v>4627</v>
      </c>
      <c r="D325" s="16" t="n">
        <v>-1</v>
      </c>
      <c r="E325" s="18" t="s">
        <v>3592</v>
      </c>
      <c r="F325" s="18" t="s">
        <v>4628</v>
      </c>
      <c r="H325" s="16" t="n">
        <v>767</v>
      </c>
    </row>
    <row r="326" customFormat="false" ht="15" hidden="false" customHeight="false" outlineLevel="0" collapsed="false">
      <c r="A326" s="18" t="s">
        <v>4629</v>
      </c>
      <c r="B326" s="18" t="s">
        <v>4626</v>
      </c>
      <c r="C326" s="18" t="s">
        <v>4627</v>
      </c>
      <c r="D326" s="16" t="n">
        <v>-1</v>
      </c>
      <c r="E326" s="18" t="s">
        <v>3594</v>
      </c>
      <c r="F326" s="18" t="s">
        <v>4628</v>
      </c>
      <c r="H326" s="16" t="n">
        <v>767</v>
      </c>
    </row>
    <row r="327" customFormat="false" ht="15" hidden="false" customHeight="false" outlineLevel="0" collapsed="false">
      <c r="A327" s="18" t="s">
        <v>4630</v>
      </c>
      <c r="B327" s="18" t="s">
        <v>4631</v>
      </c>
      <c r="C327" s="18" t="s">
        <v>4632</v>
      </c>
      <c r="D327" s="16" t="n">
        <v>-3</v>
      </c>
      <c r="E327" s="18" t="s">
        <v>3255</v>
      </c>
      <c r="F327" s="18" t="s">
        <v>4633</v>
      </c>
      <c r="G327" s="18" t="s">
        <v>4634</v>
      </c>
      <c r="H327" s="16" t="n">
        <v>5281976</v>
      </c>
    </row>
    <row r="328" customFormat="false" ht="15" hidden="false" customHeight="false" outlineLevel="0" collapsed="false">
      <c r="A328" s="18" t="s">
        <v>4635</v>
      </c>
      <c r="B328" s="18" t="s">
        <v>4636</v>
      </c>
      <c r="C328" s="18" t="s">
        <v>4636</v>
      </c>
      <c r="D328" s="16" t="n">
        <v>0</v>
      </c>
      <c r="E328" s="18" t="s">
        <v>3255</v>
      </c>
      <c r="F328" s="18" t="s">
        <v>4637</v>
      </c>
      <c r="G328" s="18" t="s">
        <v>4638</v>
      </c>
      <c r="H328" s="16" t="n">
        <v>784</v>
      </c>
    </row>
    <row r="329" customFormat="false" ht="15" hidden="false" customHeight="false" outlineLevel="0" collapsed="false">
      <c r="A329" s="18" t="s">
        <v>4639</v>
      </c>
      <c r="B329" s="18" t="s">
        <v>4640</v>
      </c>
      <c r="C329" s="18" t="s">
        <v>4640</v>
      </c>
      <c r="D329" s="16" t="n">
        <v>0</v>
      </c>
      <c r="E329" s="18" t="s">
        <v>3255</v>
      </c>
      <c r="F329" s="18" t="s">
        <v>4641</v>
      </c>
      <c r="G329" s="18" t="s">
        <v>4642</v>
      </c>
      <c r="H329" s="16" t="n">
        <v>962</v>
      </c>
    </row>
    <row r="330" customFormat="false" ht="15" hidden="false" customHeight="false" outlineLevel="0" collapsed="false">
      <c r="A330" s="18" t="s">
        <v>4643</v>
      </c>
      <c r="B330" s="18" t="s">
        <v>4640</v>
      </c>
      <c r="C330" s="18" t="s">
        <v>4640</v>
      </c>
      <c r="D330" s="16" t="n">
        <v>0</v>
      </c>
      <c r="E330" s="18" t="s">
        <v>3592</v>
      </c>
      <c r="F330" s="18" t="s">
        <v>4641</v>
      </c>
      <c r="G330" s="18" t="s">
        <v>4642</v>
      </c>
      <c r="H330" s="16" t="n">
        <v>962</v>
      </c>
    </row>
    <row r="331" customFormat="false" ht="15" hidden="false" customHeight="false" outlineLevel="0" collapsed="false">
      <c r="A331" s="18" t="s">
        <v>4644</v>
      </c>
      <c r="B331" s="18" t="s">
        <v>4640</v>
      </c>
      <c r="C331" s="18" t="s">
        <v>4640</v>
      </c>
      <c r="D331" s="16" t="n">
        <v>0</v>
      </c>
      <c r="E331" s="18" t="s">
        <v>3594</v>
      </c>
      <c r="F331" s="18" t="s">
        <v>4641</v>
      </c>
      <c r="G331" s="18" t="s">
        <v>4642</v>
      </c>
      <c r="H331" s="16" t="n">
        <v>962</v>
      </c>
    </row>
    <row r="332" customFormat="false" ht="15" hidden="false" customHeight="false" outlineLevel="0" collapsed="false">
      <c r="A332" s="18" t="s">
        <v>4645</v>
      </c>
      <c r="B332" s="18" t="s">
        <v>4646</v>
      </c>
      <c r="C332" s="18" t="s">
        <v>4646</v>
      </c>
      <c r="D332" s="16" t="n">
        <v>-1</v>
      </c>
      <c r="E332" s="18" t="s">
        <v>3255</v>
      </c>
      <c r="F332" s="18" t="s">
        <v>4647</v>
      </c>
      <c r="G332" s="18" t="s">
        <v>4648</v>
      </c>
      <c r="H332" s="16" t="n">
        <v>402</v>
      </c>
    </row>
    <row r="333" customFormat="false" ht="15" hidden="false" customHeight="false" outlineLevel="0" collapsed="false">
      <c r="A333" s="18" t="s">
        <v>4649</v>
      </c>
      <c r="B333" s="18" t="s">
        <v>4646</v>
      </c>
      <c r="C333" s="18" t="s">
        <v>4646</v>
      </c>
      <c r="D333" s="16" t="n">
        <v>-1</v>
      </c>
      <c r="E333" s="18" t="s">
        <v>3592</v>
      </c>
      <c r="F333" s="18" t="s">
        <v>4647</v>
      </c>
      <c r="G333" s="18" t="s">
        <v>4648</v>
      </c>
      <c r="H333" s="16" t="n">
        <v>402</v>
      </c>
    </row>
    <row r="334" customFormat="false" ht="15" hidden="false" customHeight="false" outlineLevel="0" collapsed="false">
      <c r="A334" s="18" t="s">
        <v>4650</v>
      </c>
      <c r="B334" s="18" t="s">
        <v>4646</v>
      </c>
      <c r="C334" s="18" t="s">
        <v>4646</v>
      </c>
      <c r="D334" s="16" t="n">
        <v>-1</v>
      </c>
      <c r="E334" s="18" t="s">
        <v>3594</v>
      </c>
      <c r="F334" s="18" t="s">
        <v>4647</v>
      </c>
      <c r="G334" s="18" t="s">
        <v>4648</v>
      </c>
      <c r="H334" s="16" t="n">
        <v>402</v>
      </c>
    </row>
    <row r="335" customFormat="false" ht="15" hidden="false" customHeight="false" outlineLevel="0" collapsed="false">
      <c r="A335" s="18" t="s">
        <v>4651</v>
      </c>
      <c r="B335" s="18" t="s">
        <v>4652</v>
      </c>
      <c r="C335" s="18" t="s">
        <v>4653</v>
      </c>
      <c r="D335" s="16" t="n">
        <v>1</v>
      </c>
      <c r="E335" s="18" t="s">
        <v>3255</v>
      </c>
      <c r="F335" s="18" t="s">
        <v>4654</v>
      </c>
      <c r="G335" s="18" t="s">
        <v>4655</v>
      </c>
      <c r="H335" s="16" t="n">
        <v>1038</v>
      </c>
    </row>
    <row r="336" customFormat="false" ht="15" hidden="false" customHeight="false" outlineLevel="0" collapsed="false">
      <c r="A336" s="18" t="s">
        <v>4656</v>
      </c>
      <c r="B336" s="18" t="s">
        <v>4652</v>
      </c>
      <c r="C336" s="18" t="s">
        <v>4653</v>
      </c>
      <c r="D336" s="16" t="n">
        <v>1</v>
      </c>
      <c r="E336" s="18" t="s">
        <v>3592</v>
      </c>
      <c r="F336" s="18" t="s">
        <v>4654</v>
      </c>
      <c r="G336" s="18" t="s">
        <v>4655</v>
      </c>
      <c r="H336" s="16" t="n">
        <v>1038</v>
      </c>
    </row>
    <row r="337" customFormat="false" ht="15" hidden="false" customHeight="false" outlineLevel="0" collapsed="false">
      <c r="A337" s="18" t="s">
        <v>4657</v>
      </c>
      <c r="B337" s="18" t="s">
        <v>4652</v>
      </c>
      <c r="C337" s="18" t="s">
        <v>4653</v>
      </c>
      <c r="D337" s="16" t="n">
        <v>1</v>
      </c>
      <c r="E337" s="18" t="s">
        <v>3594</v>
      </c>
      <c r="F337" s="18" t="s">
        <v>4654</v>
      </c>
      <c r="G337" s="18" t="s">
        <v>4655</v>
      </c>
      <c r="H337" s="16" t="n">
        <v>1038</v>
      </c>
    </row>
    <row r="338" customFormat="false" ht="15" hidden="false" customHeight="false" outlineLevel="0" collapsed="false">
      <c r="A338" s="18" t="s">
        <v>4658</v>
      </c>
      <c r="B338" s="18" t="s">
        <v>4659</v>
      </c>
      <c r="C338" s="18" t="s">
        <v>4660</v>
      </c>
      <c r="D338" s="16" t="n">
        <v>-1</v>
      </c>
      <c r="E338" s="18" t="s">
        <v>3255</v>
      </c>
      <c r="F338" s="18" t="s">
        <v>4661</v>
      </c>
      <c r="G338" s="18" t="s">
        <v>4662</v>
      </c>
      <c r="H338" s="16" t="n">
        <v>769</v>
      </c>
    </row>
    <row r="339" customFormat="false" ht="15" hidden="false" customHeight="false" outlineLevel="0" collapsed="false">
      <c r="A339" s="18" t="s">
        <v>4663</v>
      </c>
      <c r="B339" s="18" t="s">
        <v>4664</v>
      </c>
      <c r="C339" s="18" t="s">
        <v>4665</v>
      </c>
      <c r="D339" s="16" t="n">
        <v>0</v>
      </c>
      <c r="E339" s="18" t="s">
        <v>3255</v>
      </c>
      <c r="F339" s="18" t="s">
        <v>4666</v>
      </c>
      <c r="G339" s="18" t="s">
        <v>4667</v>
      </c>
      <c r="H339" s="16" t="n">
        <v>91552</v>
      </c>
    </row>
    <row r="340" customFormat="false" ht="15" hidden="false" customHeight="false" outlineLevel="0" collapsed="false">
      <c r="A340" s="18" t="s">
        <v>4668</v>
      </c>
      <c r="B340" s="18" t="s">
        <v>4669</v>
      </c>
      <c r="C340" s="18" t="s">
        <v>4670</v>
      </c>
      <c r="D340" s="16" t="n">
        <v>-2</v>
      </c>
      <c r="E340" s="18" t="s">
        <v>3255</v>
      </c>
      <c r="F340" s="18" t="s">
        <v>4671</v>
      </c>
      <c r="G340" s="18" t="s">
        <v>4672</v>
      </c>
      <c r="H340" s="16" t="n">
        <v>46926106</v>
      </c>
    </row>
    <row r="341" customFormat="false" ht="15" hidden="false" customHeight="false" outlineLevel="0" collapsed="false">
      <c r="A341" s="18" t="s">
        <v>4673</v>
      </c>
      <c r="B341" s="18" t="s">
        <v>4674</v>
      </c>
      <c r="C341" s="18" t="s">
        <v>4675</v>
      </c>
      <c r="D341" s="16" t="n">
        <v>-1</v>
      </c>
      <c r="E341" s="18" t="s">
        <v>3255</v>
      </c>
      <c r="G341" s="18" t="s">
        <v>4676</v>
      </c>
    </row>
    <row r="342" customFormat="false" ht="15" hidden="false" customHeight="false" outlineLevel="0" collapsed="false">
      <c r="A342" s="18" t="s">
        <v>4677</v>
      </c>
      <c r="B342" s="18" t="s">
        <v>4678</v>
      </c>
      <c r="C342" s="18" t="s">
        <v>4679</v>
      </c>
      <c r="D342" s="16" t="n">
        <v>0</v>
      </c>
      <c r="E342" s="18" t="s">
        <v>3255</v>
      </c>
      <c r="F342" s="18" t="s">
        <v>4680</v>
      </c>
      <c r="G342" s="18" t="s">
        <v>4681</v>
      </c>
      <c r="H342" s="16" t="n">
        <v>6274</v>
      </c>
    </row>
    <row r="343" customFormat="false" ht="15" hidden="false" customHeight="false" outlineLevel="0" collapsed="false">
      <c r="A343" s="18" t="s">
        <v>4682</v>
      </c>
      <c r="B343" s="18" t="s">
        <v>4683</v>
      </c>
      <c r="C343" s="18" t="s">
        <v>4684</v>
      </c>
      <c r="D343" s="16" t="n">
        <v>-1</v>
      </c>
      <c r="E343" s="18" t="s">
        <v>3255</v>
      </c>
      <c r="F343" s="18" t="s">
        <v>4685</v>
      </c>
      <c r="G343" s="18" t="s">
        <v>4686</v>
      </c>
      <c r="H343" s="16" t="n">
        <v>439398</v>
      </c>
    </row>
    <row r="344" customFormat="false" ht="15" hidden="false" customHeight="false" outlineLevel="0" collapsed="false">
      <c r="A344" s="18" t="s">
        <v>4687</v>
      </c>
      <c r="B344" s="18" t="s">
        <v>4688</v>
      </c>
      <c r="C344" s="18" t="s">
        <v>4689</v>
      </c>
      <c r="D344" s="16" t="n">
        <v>1</v>
      </c>
      <c r="E344" s="18" t="s">
        <v>3255</v>
      </c>
      <c r="F344" s="18" t="s">
        <v>4690</v>
      </c>
      <c r="G344" s="18" t="s">
        <v>4691</v>
      </c>
      <c r="H344" s="16" t="n">
        <v>152657</v>
      </c>
    </row>
    <row r="345" customFormat="false" ht="15" hidden="false" customHeight="false" outlineLevel="0" collapsed="false">
      <c r="A345" s="18" t="s">
        <v>4692</v>
      </c>
      <c r="B345" s="18" t="s">
        <v>4693</v>
      </c>
      <c r="C345" s="18" t="s">
        <v>4694</v>
      </c>
      <c r="D345" s="16" t="n">
        <v>1</v>
      </c>
      <c r="E345" s="18" t="s">
        <v>3255</v>
      </c>
      <c r="F345" s="18" t="s">
        <v>4695</v>
      </c>
      <c r="G345" s="18" t="s">
        <v>4696</v>
      </c>
      <c r="H345" s="16" t="n">
        <v>165271</v>
      </c>
    </row>
    <row r="346" customFormat="false" ht="15" hidden="false" customHeight="false" outlineLevel="0" collapsed="false">
      <c r="A346" s="18" t="s">
        <v>4697</v>
      </c>
      <c r="B346" s="18" t="s">
        <v>4698</v>
      </c>
      <c r="D346" s="16" t="n">
        <v>0</v>
      </c>
      <c r="E346" s="18" t="s">
        <v>3255</v>
      </c>
    </row>
    <row r="347" customFormat="false" ht="15" hidden="false" customHeight="false" outlineLevel="0" collapsed="false">
      <c r="A347" s="18" t="s">
        <v>4699</v>
      </c>
      <c r="B347" s="18" t="s">
        <v>4700</v>
      </c>
      <c r="C347" s="18" t="s">
        <v>4701</v>
      </c>
      <c r="D347" s="16" t="n">
        <v>-8</v>
      </c>
      <c r="E347" s="18" t="s">
        <v>3255</v>
      </c>
      <c r="F347" s="18" t="s">
        <v>4702</v>
      </c>
      <c r="G347" s="18" t="s">
        <v>4703</v>
      </c>
      <c r="H347" s="16" t="n">
        <v>788</v>
      </c>
    </row>
    <row r="348" customFormat="false" ht="15" hidden="false" customHeight="false" outlineLevel="0" collapsed="false">
      <c r="A348" s="18" t="s">
        <v>4704</v>
      </c>
      <c r="B348" s="18" t="s">
        <v>4705</v>
      </c>
      <c r="C348" s="18" t="s">
        <v>4706</v>
      </c>
      <c r="D348" s="16" t="n">
        <v>0</v>
      </c>
      <c r="E348" s="18" t="s">
        <v>3255</v>
      </c>
      <c r="F348" s="18" t="s">
        <v>4707</v>
      </c>
      <c r="G348" s="18" t="s">
        <v>4708</v>
      </c>
      <c r="H348" s="16" t="n">
        <v>12647</v>
      </c>
    </row>
    <row r="349" customFormat="false" ht="15" hidden="false" customHeight="false" outlineLevel="0" collapsed="false">
      <c r="A349" s="18" t="s">
        <v>4709</v>
      </c>
      <c r="B349" s="18" t="s">
        <v>4710</v>
      </c>
      <c r="C349" s="18" t="s">
        <v>4711</v>
      </c>
      <c r="D349" s="16" t="n">
        <v>-1</v>
      </c>
      <c r="E349" s="18" t="s">
        <v>3255</v>
      </c>
    </row>
    <row r="350" customFormat="false" ht="15" hidden="false" customHeight="false" outlineLevel="0" collapsed="false">
      <c r="A350" s="18" t="s">
        <v>4712</v>
      </c>
      <c r="B350" s="18" t="s">
        <v>4713</v>
      </c>
      <c r="C350" s="18" t="s">
        <v>4714</v>
      </c>
      <c r="D350" s="16" t="n">
        <v>0</v>
      </c>
      <c r="E350" s="18" t="s">
        <v>3255</v>
      </c>
      <c r="F350" s="18" t="s">
        <v>4715</v>
      </c>
      <c r="G350" s="18" t="s">
        <v>4716</v>
      </c>
      <c r="H350" s="16" t="n">
        <v>790</v>
      </c>
    </row>
    <row r="351" customFormat="false" ht="15" hidden="false" customHeight="false" outlineLevel="0" collapsed="false">
      <c r="A351" s="18" t="s">
        <v>4717</v>
      </c>
      <c r="B351" s="18" t="s">
        <v>4718</v>
      </c>
      <c r="C351" s="18" t="s">
        <v>4719</v>
      </c>
      <c r="D351" s="16" t="n">
        <v>-2</v>
      </c>
      <c r="E351" s="18" t="s">
        <v>3255</v>
      </c>
      <c r="F351" s="18" t="s">
        <v>4720</v>
      </c>
      <c r="G351" s="18" t="s">
        <v>4721</v>
      </c>
      <c r="H351" s="16" t="n">
        <v>796</v>
      </c>
    </row>
    <row r="352" customFormat="false" ht="15" hidden="false" customHeight="false" outlineLevel="0" collapsed="false">
      <c r="A352" s="18" t="s">
        <v>4722</v>
      </c>
      <c r="B352" s="18" t="s">
        <v>4723</v>
      </c>
      <c r="C352" s="18" t="s">
        <v>4031</v>
      </c>
      <c r="D352" s="16" t="n">
        <v>-3</v>
      </c>
      <c r="E352" s="18" t="s">
        <v>3255</v>
      </c>
      <c r="F352" s="18" t="s">
        <v>4724</v>
      </c>
      <c r="G352" s="18" t="s">
        <v>4725</v>
      </c>
      <c r="H352" s="16" t="n">
        <v>1198</v>
      </c>
    </row>
    <row r="353" customFormat="false" ht="15" hidden="false" customHeight="false" outlineLevel="0" collapsed="false">
      <c r="A353" s="18" t="s">
        <v>4726</v>
      </c>
      <c r="B353" s="18" t="s">
        <v>4727</v>
      </c>
      <c r="C353" s="18" t="s">
        <v>4728</v>
      </c>
      <c r="D353" s="16" t="n">
        <v>0</v>
      </c>
      <c r="E353" s="18" t="s">
        <v>3255</v>
      </c>
      <c r="F353" s="18" t="s">
        <v>4729</v>
      </c>
      <c r="G353" s="18" t="s">
        <v>4730</v>
      </c>
      <c r="H353" s="16" t="n">
        <v>6306</v>
      </c>
    </row>
    <row r="354" customFormat="false" ht="15" hidden="false" customHeight="false" outlineLevel="0" collapsed="false">
      <c r="A354" s="18" t="s">
        <v>4731</v>
      </c>
      <c r="B354" s="18" t="s">
        <v>4732</v>
      </c>
      <c r="C354" s="18" t="s">
        <v>4733</v>
      </c>
      <c r="D354" s="16" t="n">
        <v>-2</v>
      </c>
      <c r="E354" s="18" t="s">
        <v>3255</v>
      </c>
      <c r="F354" s="18" t="s">
        <v>4734</v>
      </c>
      <c r="G354" s="18" t="s">
        <v>4735</v>
      </c>
      <c r="H354" s="16" t="n">
        <v>792</v>
      </c>
    </row>
    <row r="355" customFormat="false" ht="15" hidden="false" customHeight="false" outlineLevel="0" collapsed="false">
      <c r="A355" s="18" t="s">
        <v>4736</v>
      </c>
      <c r="B355" s="18" t="s">
        <v>4737</v>
      </c>
      <c r="C355" s="18" t="s">
        <v>4738</v>
      </c>
      <c r="D355" s="16" t="n">
        <v>-2</v>
      </c>
      <c r="E355" s="18" t="s">
        <v>3255</v>
      </c>
      <c r="F355" s="18" t="s">
        <v>4739</v>
      </c>
      <c r="G355" s="18" t="s">
        <v>4740</v>
      </c>
      <c r="H355" s="16" t="n">
        <v>8582</v>
      </c>
    </row>
    <row r="356" customFormat="false" ht="15" hidden="false" customHeight="false" outlineLevel="0" collapsed="false">
      <c r="A356" s="18" t="s">
        <v>4741</v>
      </c>
      <c r="B356" s="18" t="s">
        <v>4742</v>
      </c>
      <c r="C356" s="18" t="s">
        <v>4743</v>
      </c>
      <c r="D356" s="16" t="n">
        <v>0</v>
      </c>
      <c r="E356" s="18" t="s">
        <v>3255</v>
      </c>
      <c r="F356" s="18" t="s">
        <v>4744</v>
      </c>
      <c r="G356" s="18" t="s">
        <v>4745</v>
      </c>
      <c r="H356" s="16" t="n">
        <v>798</v>
      </c>
    </row>
    <row r="357" customFormat="false" ht="15" hidden="false" customHeight="false" outlineLevel="0" collapsed="false">
      <c r="A357" s="18" t="s">
        <v>4746</v>
      </c>
      <c r="B357" s="18" t="s">
        <v>4747</v>
      </c>
      <c r="C357" s="18" t="s">
        <v>4748</v>
      </c>
      <c r="D357" s="16" t="n">
        <v>0</v>
      </c>
      <c r="E357" s="18" t="s">
        <v>3255</v>
      </c>
      <c r="F357" s="18" t="s">
        <v>4749</v>
      </c>
      <c r="G357" s="18" t="s">
        <v>4750</v>
      </c>
      <c r="H357" s="16" t="n">
        <v>6021</v>
      </c>
    </row>
    <row r="358" customFormat="false" ht="15" hidden="false" customHeight="false" outlineLevel="0" collapsed="false">
      <c r="A358" s="18" t="s">
        <v>4751</v>
      </c>
      <c r="B358" s="18" t="s">
        <v>4752</v>
      </c>
      <c r="C358" s="18" t="s">
        <v>4255</v>
      </c>
      <c r="D358" s="16" t="n">
        <v>-3</v>
      </c>
      <c r="E358" s="18" t="s">
        <v>3255</v>
      </c>
      <c r="F358" s="18" t="s">
        <v>4753</v>
      </c>
      <c r="G358" s="18" t="s">
        <v>4754</v>
      </c>
      <c r="H358" s="16" t="n">
        <v>1195</v>
      </c>
    </row>
    <row r="359" customFormat="false" ht="15" hidden="false" customHeight="false" outlineLevel="0" collapsed="false">
      <c r="A359" s="18" t="s">
        <v>4755</v>
      </c>
      <c r="B359" s="18" t="s">
        <v>4756</v>
      </c>
      <c r="C359" s="18" t="s">
        <v>3722</v>
      </c>
      <c r="D359" s="16" t="n">
        <v>-1</v>
      </c>
      <c r="E359" s="18" t="s">
        <v>3255</v>
      </c>
    </row>
    <row r="360" customFormat="false" ht="15" hidden="false" customHeight="false" outlineLevel="0" collapsed="false">
      <c r="A360" s="18" t="s">
        <v>4757</v>
      </c>
      <c r="B360" s="18" t="s">
        <v>4758</v>
      </c>
      <c r="C360" s="18" t="s">
        <v>3719</v>
      </c>
      <c r="D360" s="16" t="n">
        <v>0</v>
      </c>
      <c r="E360" s="18" t="s">
        <v>3255</v>
      </c>
    </row>
    <row r="361" customFormat="false" ht="15" hidden="false" customHeight="false" outlineLevel="0" collapsed="false">
      <c r="A361" s="18" t="s">
        <v>4759</v>
      </c>
      <c r="B361" s="18" t="s">
        <v>4760</v>
      </c>
      <c r="C361" s="18" t="s">
        <v>4760</v>
      </c>
      <c r="D361" s="16" t="n">
        <v>1</v>
      </c>
      <c r="E361" s="18" t="s">
        <v>3255</v>
      </c>
      <c r="F361" s="18" t="s">
        <v>4761</v>
      </c>
      <c r="G361" s="18" t="s">
        <v>4762</v>
      </c>
      <c r="H361" s="16" t="n">
        <v>813</v>
      </c>
    </row>
    <row r="362" customFormat="false" ht="15" hidden="false" customHeight="false" outlineLevel="0" collapsed="false">
      <c r="A362" s="18" t="s">
        <v>4763</v>
      </c>
      <c r="B362" s="18" t="s">
        <v>4760</v>
      </c>
      <c r="C362" s="18" t="s">
        <v>4760</v>
      </c>
      <c r="D362" s="16" t="n">
        <v>1</v>
      </c>
      <c r="E362" s="18" t="s">
        <v>3592</v>
      </c>
      <c r="F362" s="18" t="s">
        <v>4761</v>
      </c>
      <c r="G362" s="18" t="s">
        <v>4762</v>
      </c>
      <c r="H362" s="16" t="n">
        <v>813</v>
      </c>
    </row>
    <row r="363" customFormat="false" ht="15" hidden="false" customHeight="false" outlineLevel="0" collapsed="false">
      <c r="A363" s="18" t="s">
        <v>4764</v>
      </c>
      <c r="B363" s="18" t="s">
        <v>4760</v>
      </c>
      <c r="C363" s="18" t="s">
        <v>4760</v>
      </c>
      <c r="D363" s="16" t="n">
        <v>1</v>
      </c>
      <c r="E363" s="18" t="s">
        <v>3594</v>
      </c>
      <c r="F363" s="18" t="s">
        <v>4761</v>
      </c>
      <c r="G363" s="18" t="s">
        <v>4762</v>
      </c>
      <c r="H363" s="16" t="n">
        <v>813</v>
      </c>
    </row>
    <row r="364" customFormat="false" ht="15" hidden="false" customHeight="false" outlineLevel="0" collapsed="false">
      <c r="A364" s="18" t="s">
        <v>4765</v>
      </c>
      <c r="B364" s="18" t="s">
        <v>4766</v>
      </c>
      <c r="D364" s="16" t="n">
        <v>0</v>
      </c>
      <c r="E364" s="18" t="s">
        <v>3255</v>
      </c>
    </row>
    <row r="365" customFormat="false" ht="15" hidden="false" customHeight="false" outlineLevel="0" collapsed="false">
      <c r="A365" s="18" t="s">
        <v>4767</v>
      </c>
      <c r="B365" s="18" t="s">
        <v>4768</v>
      </c>
      <c r="C365" s="18" t="s">
        <v>4769</v>
      </c>
      <c r="D365" s="16" t="n">
        <v>-3</v>
      </c>
      <c r="E365" s="18" t="s">
        <v>3255</v>
      </c>
      <c r="F365" s="18" t="s">
        <v>4770</v>
      </c>
      <c r="G365" s="18" t="s">
        <v>4771</v>
      </c>
      <c r="H365" s="16" t="n">
        <v>5280685</v>
      </c>
    </row>
    <row r="366" customFormat="false" ht="15" hidden="false" customHeight="false" outlineLevel="0" collapsed="false">
      <c r="A366" s="18" t="s">
        <v>4772</v>
      </c>
      <c r="B366" s="18" t="s">
        <v>4773</v>
      </c>
      <c r="C366" s="18" t="s">
        <v>4774</v>
      </c>
      <c r="D366" s="16" t="n">
        <v>-1</v>
      </c>
      <c r="E366" s="18" t="s">
        <v>3255</v>
      </c>
      <c r="F366" s="18" t="s">
        <v>4775</v>
      </c>
      <c r="G366" s="18" t="s">
        <v>4776</v>
      </c>
      <c r="H366" s="16" t="n">
        <v>817</v>
      </c>
    </row>
    <row r="367" customFormat="false" ht="15" hidden="false" customHeight="false" outlineLevel="0" collapsed="false">
      <c r="A367" s="18" t="s">
        <v>4777</v>
      </c>
      <c r="B367" s="18" t="s">
        <v>4778</v>
      </c>
      <c r="D367" s="16" t="n">
        <v>0</v>
      </c>
      <c r="E367" s="18" t="s">
        <v>3255</v>
      </c>
    </row>
    <row r="368" customFormat="false" ht="15" hidden="false" customHeight="false" outlineLevel="0" collapsed="false">
      <c r="A368" s="18" t="s">
        <v>4779</v>
      </c>
      <c r="B368" s="18" t="s">
        <v>4780</v>
      </c>
      <c r="C368" s="18" t="s">
        <v>4728</v>
      </c>
      <c r="D368" s="16" t="n">
        <v>0</v>
      </c>
      <c r="E368" s="18" t="s">
        <v>3255</v>
      </c>
      <c r="F368" s="18" t="s">
        <v>4781</v>
      </c>
      <c r="G368" s="18" t="s">
        <v>4782</v>
      </c>
      <c r="H368" s="16" t="n">
        <v>6106</v>
      </c>
    </row>
    <row r="369" customFormat="false" ht="15" hidden="false" customHeight="false" outlineLevel="0" collapsed="false">
      <c r="A369" s="18" t="s">
        <v>4783</v>
      </c>
      <c r="B369" s="18" t="s">
        <v>4784</v>
      </c>
      <c r="D369" s="16" t="n">
        <v>0</v>
      </c>
      <c r="E369" s="18" t="s">
        <v>3255</v>
      </c>
    </row>
    <row r="370" customFormat="false" ht="15" hidden="false" customHeight="false" outlineLevel="0" collapsed="false">
      <c r="A370" s="18" t="s">
        <v>4785</v>
      </c>
      <c r="B370" s="18" t="s">
        <v>4786</v>
      </c>
      <c r="C370" s="18" t="s">
        <v>4787</v>
      </c>
      <c r="D370" s="16" t="n">
        <v>-4</v>
      </c>
      <c r="E370" s="18" t="s">
        <v>3255</v>
      </c>
    </row>
    <row r="371" customFormat="false" ht="15" hidden="false" customHeight="false" outlineLevel="0" collapsed="false">
      <c r="A371" s="18" t="s">
        <v>4788</v>
      </c>
      <c r="B371" s="18" t="s">
        <v>4789</v>
      </c>
      <c r="D371" s="16" t="n">
        <v>0</v>
      </c>
      <c r="E371" s="18" t="s">
        <v>3255</v>
      </c>
    </row>
    <row r="372" customFormat="false" ht="15" hidden="false" customHeight="false" outlineLevel="0" collapsed="false">
      <c r="A372" s="18" t="s">
        <v>4790</v>
      </c>
      <c r="B372" s="18" t="s">
        <v>4791</v>
      </c>
      <c r="D372" s="16" t="n">
        <v>0</v>
      </c>
      <c r="E372" s="18" t="s">
        <v>3255</v>
      </c>
    </row>
    <row r="373" customFormat="false" ht="15" hidden="false" customHeight="false" outlineLevel="0" collapsed="false">
      <c r="A373" s="18" t="s">
        <v>4792</v>
      </c>
      <c r="B373" s="18" t="s">
        <v>4793</v>
      </c>
      <c r="C373" s="18" t="s">
        <v>4794</v>
      </c>
      <c r="D373" s="16" t="n">
        <v>1</v>
      </c>
      <c r="E373" s="18" t="s">
        <v>3255</v>
      </c>
      <c r="F373" s="18" t="s">
        <v>4795</v>
      </c>
      <c r="G373" s="18" t="s">
        <v>4796</v>
      </c>
      <c r="H373" s="16" t="n">
        <v>5962</v>
      </c>
    </row>
    <row r="374" customFormat="false" ht="15" hidden="false" customHeight="false" outlineLevel="0" collapsed="false">
      <c r="A374" s="18" t="s">
        <v>4797</v>
      </c>
      <c r="B374" s="18" t="s">
        <v>4798</v>
      </c>
      <c r="C374" s="18" t="s">
        <v>4799</v>
      </c>
      <c r="D374" s="16" t="n">
        <v>0</v>
      </c>
      <c r="E374" s="18" t="s">
        <v>3255</v>
      </c>
      <c r="F374" s="18" t="s">
        <v>4800</v>
      </c>
      <c r="G374" s="18" t="s">
        <v>4801</v>
      </c>
      <c r="H374" s="16" t="n">
        <v>6255</v>
      </c>
    </row>
    <row r="375" customFormat="false" ht="15" hidden="false" customHeight="false" outlineLevel="0" collapsed="false">
      <c r="A375" s="18" t="s">
        <v>4802</v>
      </c>
      <c r="B375" s="18" t="s">
        <v>4803</v>
      </c>
      <c r="C375" s="18" t="s">
        <v>4804</v>
      </c>
      <c r="D375" s="16" t="n">
        <v>-2</v>
      </c>
      <c r="E375" s="18" t="s">
        <v>3255</v>
      </c>
      <c r="F375" s="18" t="s">
        <v>4805</v>
      </c>
      <c r="G375" s="18" t="s">
        <v>4806</v>
      </c>
      <c r="H375" s="16" t="n">
        <v>222656</v>
      </c>
    </row>
    <row r="376" customFormat="false" ht="15" hidden="false" customHeight="false" outlineLevel="0" collapsed="false">
      <c r="A376" s="18" t="s">
        <v>4807</v>
      </c>
      <c r="B376" s="18" t="s">
        <v>4808</v>
      </c>
      <c r="C376" s="18" t="s">
        <v>4809</v>
      </c>
      <c r="D376" s="16" t="n">
        <v>-2</v>
      </c>
      <c r="E376" s="18" t="s">
        <v>3255</v>
      </c>
      <c r="G376" s="18" t="s">
        <v>4810</v>
      </c>
    </row>
    <row r="377" customFormat="false" ht="15" hidden="false" customHeight="false" outlineLevel="0" collapsed="false">
      <c r="A377" s="18" t="s">
        <v>4811</v>
      </c>
      <c r="B377" s="18" t="s">
        <v>4812</v>
      </c>
      <c r="C377" s="18" t="s">
        <v>4813</v>
      </c>
      <c r="D377" s="16" t="n">
        <v>-5</v>
      </c>
      <c r="E377" s="18" t="s">
        <v>3255</v>
      </c>
      <c r="F377" s="18" t="s">
        <v>4814</v>
      </c>
      <c r="G377" s="18" t="s">
        <v>4815</v>
      </c>
      <c r="H377" s="16" t="n">
        <v>10663</v>
      </c>
    </row>
    <row r="378" customFormat="false" ht="15" hidden="false" customHeight="false" outlineLevel="0" collapsed="false">
      <c r="A378" s="18" t="s">
        <v>4816</v>
      </c>
      <c r="B378" s="18" t="s">
        <v>4817</v>
      </c>
      <c r="C378" s="18" t="s">
        <v>4818</v>
      </c>
      <c r="D378" s="16" t="n">
        <v>0</v>
      </c>
      <c r="E378" s="18" t="s">
        <v>3255</v>
      </c>
      <c r="F378" s="18" t="s">
        <v>4819</v>
      </c>
      <c r="G378" s="18" t="s">
        <v>4820</v>
      </c>
      <c r="H378" s="16" t="n">
        <v>439586</v>
      </c>
    </row>
    <row r="379" customFormat="false" ht="15" hidden="false" customHeight="false" outlineLevel="0" collapsed="false">
      <c r="A379" s="18" t="s">
        <v>4821</v>
      </c>
      <c r="B379" s="18" t="s">
        <v>4822</v>
      </c>
      <c r="C379" s="18" t="s">
        <v>4823</v>
      </c>
      <c r="D379" s="16" t="n">
        <v>0</v>
      </c>
      <c r="E379" s="18" t="s">
        <v>3255</v>
      </c>
      <c r="F379" s="18" t="s">
        <v>4824</v>
      </c>
      <c r="G379" s="18" t="s">
        <v>4825</v>
      </c>
      <c r="H379" s="16" t="n">
        <v>439639</v>
      </c>
    </row>
    <row r="380" customFormat="false" ht="15" hidden="false" customHeight="false" outlineLevel="0" collapsed="false">
      <c r="A380" s="18" t="s">
        <v>4826</v>
      </c>
      <c r="B380" s="18" t="s">
        <v>4827</v>
      </c>
      <c r="C380" s="18" t="s">
        <v>4362</v>
      </c>
      <c r="D380" s="16" t="n">
        <v>-2</v>
      </c>
      <c r="E380" s="18" t="s">
        <v>3255</v>
      </c>
      <c r="F380" s="18" t="s">
        <v>4828</v>
      </c>
      <c r="G380" s="18" t="s">
        <v>4829</v>
      </c>
      <c r="H380" s="16" t="n">
        <v>439279</v>
      </c>
    </row>
    <row r="381" customFormat="false" ht="15" hidden="false" customHeight="false" outlineLevel="0" collapsed="false">
      <c r="A381" s="18" t="s">
        <v>4830</v>
      </c>
      <c r="B381" s="18" t="s">
        <v>4831</v>
      </c>
      <c r="C381" s="18" t="s">
        <v>4362</v>
      </c>
      <c r="D381" s="16" t="n">
        <v>-2</v>
      </c>
      <c r="E381" s="18" t="s">
        <v>3255</v>
      </c>
      <c r="F381" s="18" t="s">
        <v>4832</v>
      </c>
      <c r="G381" s="18" t="s">
        <v>4833</v>
      </c>
      <c r="H381" s="16" t="n">
        <v>439198</v>
      </c>
    </row>
    <row r="382" customFormat="false" ht="15" hidden="false" customHeight="false" outlineLevel="0" collapsed="false">
      <c r="A382" s="18" t="s">
        <v>4834</v>
      </c>
      <c r="B382" s="18" t="s">
        <v>4835</v>
      </c>
      <c r="C382" s="18" t="s">
        <v>4836</v>
      </c>
      <c r="D382" s="16" t="n">
        <v>0</v>
      </c>
      <c r="E382" s="18" t="s">
        <v>3255</v>
      </c>
      <c r="F382" s="18" t="s">
        <v>4837</v>
      </c>
      <c r="G382" s="18" t="s">
        <v>4838</v>
      </c>
      <c r="H382" s="16" t="n">
        <v>6137</v>
      </c>
    </row>
    <row r="383" customFormat="false" ht="15" hidden="false" customHeight="false" outlineLevel="0" collapsed="false">
      <c r="A383" s="18" t="s">
        <v>4839</v>
      </c>
      <c r="B383" s="18" t="s">
        <v>4840</v>
      </c>
      <c r="C383" s="18" t="s">
        <v>4841</v>
      </c>
      <c r="D383" s="16" t="n">
        <v>-1</v>
      </c>
      <c r="E383" s="18" t="s">
        <v>3255</v>
      </c>
      <c r="F383" s="18" t="s">
        <v>4842</v>
      </c>
      <c r="G383" s="18" t="s">
        <v>4843</v>
      </c>
      <c r="H383" s="16" t="n">
        <v>439237</v>
      </c>
    </row>
    <row r="384" customFormat="false" ht="15" hidden="false" customHeight="false" outlineLevel="0" collapsed="false">
      <c r="A384" s="18" t="s">
        <v>4844</v>
      </c>
      <c r="B384" s="18" t="s">
        <v>4845</v>
      </c>
      <c r="C384" s="18" t="s">
        <v>4845</v>
      </c>
      <c r="D384" s="16" t="n">
        <v>2</v>
      </c>
      <c r="E384" s="18" t="s">
        <v>3255</v>
      </c>
      <c r="F384" s="18" t="s">
        <v>4846</v>
      </c>
      <c r="G384" s="18" t="s">
        <v>4847</v>
      </c>
      <c r="H384" s="16" t="n">
        <v>888</v>
      </c>
    </row>
    <row r="385" customFormat="false" ht="15" hidden="false" customHeight="false" outlineLevel="0" collapsed="false">
      <c r="A385" s="18" t="s">
        <v>4848</v>
      </c>
      <c r="B385" s="18" t="s">
        <v>4845</v>
      </c>
      <c r="C385" s="18" t="s">
        <v>4845</v>
      </c>
      <c r="D385" s="16" t="n">
        <v>2</v>
      </c>
      <c r="E385" s="18" t="s">
        <v>3592</v>
      </c>
      <c r="F385" s="18" t="s">
        <v>4846</v>
      </c>
      <c r="G385" s="18" t="s">
        <v>4847</v>
      </c>
      <c r="H385" s="16" t="n">
        <v>888</v>
      </c>
    </row>
    <row r="386" customFormat="false" ht="15" hidden="false" customHeight="false" outlineLevel="0" collapsed="false">
      <c r="A386" s="18" t="s">
        <v>4849</v>
      </c>
      <c r="B386" s="18" t="s">
        <v>4845</v>
      </c>
      <c r="C386" s="18" t="s">
        <v>4845</v>
      </c>
      <c r="D386" s="16" t="n">
        <v>2</v>
      </c>
      <c r="E386" s="18" t="s">
        <v>3594</v>
      </c>
      <c r="F386" s="18" t="s">
        <v>4846</v>
      </c>
      <c r="G386" s="18" t="s">
        <v>4847</v>
      </c>
      <c r="H386" s="16" t="n">
        <v>888</v>
      </c>
    </row>
    <row r="387" customFormat="false" ht="15" hidden="false" customHeight="false" outlineLevel="0" collapsed="false">
      <c r="A387" s="18" t="s">
        <v>4850</v>
      </c>
      <c r="B387" s="18" t="s">
        <v>4851</v>
      </c>
      <c r="C387" s="18" t="s">
        <v>4852</v>
      </c>
      <c r="D387" s="16" t="n">
        <v>-2</v>
      </c>
      <c r="E387" s="18" t="s">
        <v>3255</v>
      </c>
      <c r="F387" s="18" t="s">
        <v>4853</v>
      </c>
      <c r="G387" s="18" t="s">
        <v>4854</v>
      </c>
      <c r="H387" s="16" t="n">
        <v>439175</v>
      </c>
    </row>
    <row r="388" customFormat="false" ht="15" hidden="false" customHeight="false" outlineLevel="0" collapsed="false">
      <c r="A388" s="18" t="s">
        <v>4855</v>
      </c>
      <c r="B388" s="18" t="s">
        <v>4856</v>
      </c>
      <c r="C388" s="18" t="s">
        <v>4857</v>
      </c>
      <c r="D388" s="16" t="n">
        <v>-5</v>
      </c>
      <c r="E388" s="18" t="s">
        <v>3255</v>
      </c>
      <c r="F388" s="18" t="s">
        <v>4858</v>
      </c>
      <c r="G388" s="18" t="s">
        <v>4859</v>
      </c>
      <c r="H388" s="16" t="n">
        <v>439439</v>
      </c>
    </row>
    <row r="389" customFormat="false" ht="15" hidden="false" customHeight="false" outlineLevel="0" collapsed="false">
      <c r="A389" s="18" t="s">
        <v>4860</v>
      </c>
      <c r="B389" s="18" t="s">
        <v>4861</v>
      </c>
      <c r="C389" s="18" t="s">
        <v>4862</v>
      </c>
      <c r="D389" s="16" t="n">
        <v>2</v>
      </c>
      <c r="E389" s="18" t="s">
        <v>3255</v>
      </c>
      <c r="F389" s="18" t="s">
        <v>4863</v>
      </c>
      <c r="G389" s="18" t="s">
        <v>4864</v>
      </c>
      <c r="H389" s="16" t="n">
        <v>11665392</v>
      </c>
    </row>
    <row r="390" customFormat="false" ht="15" hidden="false" customHeight="false" outlineLevel="0" collapsed="false">
      <c r="A390" s="18" t="s">
        <v>4865</v>
      </c>
      <c r="B390" s="18" t="s">
        <v>4861</v>
      </c>
      <c r="C390" s="18" t="s">
        <v>4862</v>
      </c>
      <c r="D390" s="16" t="n">
        <v>2</v>
      </c>
      <c r="E390" s="18" t="s">
        <v>3592</v>
      </c>
      <c r="F390" s="18" t="s">
        <v>4863</v>
      </c>
      <c r="G390" s="18" t="s">
        <v>4864</v>
      </c>
      <c r="H390" s="16" t="n">
        <v>11665392</v>
      </c>
    </row>
    <row r="391" customFormat="false" ht="15" hidden="false" customHeight="false" outlineLevel="0" collapsed="false">
      <c r="A391" s="18" t="s">
        <v>4866</v>
      </c>
      <c r="B391" s="18" t="s">
        <v>4861</v>
      </c>
      <c r="C391" s="18" t="s">
        <v>4862</v>
      </c>
      <c r="D391" s="16" t="n">
        <v>2</v>
      </c>
      <c r="E391" s="18" t="s">
        <v>3594</v>
      </c>
      <c r="F391" s="18" t="s">
        <v>4863</v>
      </c>
      <c r="G391" s="18" t="s">
        <v>4864</v>
      </c>
      <c r="H391" s="16" t="n">
        <v>11665392</v>
      </c>
    </row>
    <row r="392" customFormat="false" ht="15" hidden="false" customHeight="false" outlineLevel="0" collapsed="false">
      <c r="A392" s="18" t="s">
        <v>4867</v>
      </c>
      <c r="B392" s="18" t="s">
        <v>4868</v>
      </c>
      <c r="C392" s="18" t="s">
        <v>4869</v>
      </c>
      <c r="D392" s="16" t="n">
        <v>-2</v>
      </c>
      <c r="E392" s="18" t="s">
        <v>3255</v>
      </c>
      <c r="F392" s="18" t="s">
        <v>4870</v>
      </c>
      <c r="G392" s="18" t="s">
        <v>4871</v>
      </c>
      <c r="H392" s="16" t="n">
        <v>440251</v>
      </c>
    </row>
    <row r="393" customFormat="false" ht="15" hidden="false" customHeight="false" outlineLevel="0" collapsed="false">
      <c r="A393" s="18" t="s">
        <v>4872</v>
      </c>
      <c r="B393" s="18" t="s">
        <v>4873</v>
      </c>
      <c r="C393" s="18" t="s">
        <v>4869</v>
      </c>
      <c r="D393" s="16" t="n">
        <v>-2</v>
      </c>
      <c r="E393" s="18" t="s">
        <v>3255</v>
      </c>
      <c r="F393" s="18" t="s">
        <v>4874</v>
      </c>
      <c r="G393" s="18" t="s">
        <v>4875</v>
      </c>
      <c r="H393" s="16" t="n">
        <v>329</v>
      </c>
    </row>
    <row r="394" customFormat="false" ht="15" hidden="false" customHeight="false" outlineLevel="0" collapsed="false">
      <c r="A394" s="18" t="s">
        <v>4876</v>
      </c>
      <c r="B394" s="18" t="s">
        <v>4877</v>
      </c>
      <c r="C394" s="18" t="s">
        <v>4878</v>
      </c>
      <c r="D394" s="16" t="n">
        <v>-4</v>
      </c>
      <c r="E394" s="18" t="s">
        <v>3255</v>
      </c>
      <c r="F394" s="18" t="s">
        <v>4879</v>
      </c>
    </row>
    <row r="395" customFormat="false" ht="15" hidden="false" customHeight="false" outlineLevel="0" collapsed="false">
      <c r="A395" s="18" t="s">
        <v>4880</v>
      </c>
      <c r="B395" s="18" t="s">
        <v>4881</v>
      </c>
      <c r="C395" s="18" t="s">
        <v>4882</v>
      </c>
      <c r="D395" s="16" t="n">
        <v>-4</v>
      </c>
      <c r="E395" s="18" t="s">
        <v>3255</v>
      </c>
      <c r="F395" s="18" t="s">
        <v>4883</v>
      </c>
    </row>
    <row r="396" customFormat="false" ht="15" hidden="false" customHeight="false" outlineLevel="0" collapsed="false">
      <c r="A396" s="18" t="s">
        <v>4884</v>
      </c>
      <c r="B396" s="18" t="s">
        <v>4885</v>
      </c>
      <c r="C396" s="18" t="s">
        <v>4886</v>
      </c>
      <c r="D396" s="16" t="n">
        <v>-1</v>
      </c>
      <c r="E396" s="18" t="s">
        <v>3255</v>
      </c>
      <c r="G396" s="18" t="s">
        <v>4887</v>
      </c>
    </row>
    <row r="397" customFormat="false" ht="15" hidden="false" customHeight="false" outlineLevel="0" collapsed="false">
      <c r="A397" s="18" t="s">
        <v>4888</v>
      </c>
      <c r="B397" s="18" t="s">
        <v>4889</v>
      </c>
      <c r="C397" s="18" t="s">
        <v>4889</v>
      </c>
      <c r="D397" s="16" t="n">
        <v>0</v>
      </c>
      <c r="E397" s="18" t="s">
        <v>3255</v>
      </c>
      <c r="F397" s="18" t="s">
        <v>4890</v>
      </c>
      <c r="G397" s="18" t="s">
        <v>4891</v>
      </c>
      <c r="H397" s="16" t="n">
        <v>947</v>
      </c>
    </row>
    <row r="398" customFormat="false" ht="15" hidden="false" customHeight="false" outlineLevel="0" collapsed="false">
      <c r="A398" s="18" t="s">
        <v>4892</v>
      </c>
      <c r="B398" s="18" t="s">
        <v>4889</v>
      </c>
      <c r="C398" s="18" t="s">
        <v>4889</v>
      </c>
      <c r="D398" s="16" t="n">
        <v>0</v>
      </c>
      <c r="E398" s="18" t="s">
        <v>3592</v>
      </c>
      <c r="F398" s="18" t="s">
        <v>4890</v>
      </c>
      <c r="G398" s="18" t="s">
        <v>4891</v>
      </c>
      <c r="H398" s="16" t="n">
        <v>947</v>
      </c>
    </row>
    <row r="399" customFormat="false" ht="15" hidden="false" customHeight="false" outlineLevel="0" collapsed="false">
      <c r="A399" s="18" t="s">
        <v>4893</v>
      </c>
      <c r="B399" s="18" t="s">
        <v>4889</v>
      </c>
      <c r="C399" s="18" t="s">
        <v>4889</v>
      </c>
      <c r="D399" s="16" t="n">
        <v>0</v>
      </c>
      <c r="E399" s="18" t="s">
        <v>3594</v>
      </c>
      <c r="F399" s="18" t="s">
        <v>4890</v>
      </c>
      <c r="G399" s="18" t="s">
        <v>4891</v>
      </c>
      <c r="H399" s="16" t="n">
        <v>947</v>
      </c>
    </row>
    <row r="400" customFormat="false" ht="15" hidden="false" customHeight="false" outlineLevel="0" collapsed="false">
      <c r="A400" s="18" t="s">
        <v>4894</v>
      </c>
      <c r="B400" s="18" t="s">
        <v>4895</v>
      </c>
      <c r="C400" s="18" t="s">
        <v>4895</v>
      </c>
      <c r="D400" s="16" t="n">
        <v>1</v>
      </c>
      <c r="E400" s="18" t="s">
        <v>3255</v>
      </c>
      <c r="F400" s="18" t="s">
        <v>4896</v>
      </c>
      <c r="G400" s="18" t="s">
        <v>4897</v>
      </c>
      <c r="H400" s="16" t="n">
        <v>923</v>
      </c>
    </row>
    <row r="401" customFormat="false" ht="15" hidden="false" customHeight="false" outlineLevel="0" collapsed="false">
      <c r="A401" s="18" t="s">
        <v>4898</v>
      </c>
      <c r="B401" s="18" t="s">
        <v>4895</v>
      </c>
      <c r="C401" s="18" t="s">
        <v>4895</v>
      </c>
      <c r="D401" s="16" t="n">
        <v>1</v>
      </c>
      <c r="E401" s="18" t="s">
        <v>3592</v>
      </c>
      <c r="F401" s="18" t="s">
        <v>4896</v>
      </c>
      <c r="G401" s="18" t="s">
        <v>4897</v>
      </c>
      <c r="H401" s="16" t="n">
        <v>923</v>
      </c>
    </row>
    <row r="402" customFormat="false" ht="15" hidden="false" customHeight="false" outlineLevel="0" collapsed="false">
      <c r="A402" s="18" t="s">
        <v>4899</v>
      </c>
      <c r="B402" s="18" t="s">
        <v>4895</v>
      </c>
      <c r="C402" s="18" t="s">
        <v>4895</v>
      </c>
      <c r="D402" s="16" t="n">
        <v>1</v>
      </c>
      <c r="E402" s="18" t="s">
        <v>3594</v>
      </c>
      <c r="F402" s="18" t="s">
        <v>4896</v>
      </c>
      <c r="G402" s="18" t="s">
        <v>4897</v>
      </c>
      <c r="H402" s="16" t="n">
        <v>923</v>
      </c>
    </row>
    <row r="403" customFormat="false" ht="15" hidden="false" customHeight="false" outlineLevel="0" collapsed="false">
      <c r="A403" s="18" t="s">
        <v>4900</v>
      </c>
      <c r="B403" s="18" t="s">
        <v>4901</v>
      </c>
      <c r="C403" s="18" t="s">
        <v>4902</v>
      </c>
      <c r="D403" s="16" t="n">
        <v>-1</v>
      </c>
      <c r="E403" s="18" t="s">
        <v>3255</v>
      </c>
      <c r="F403" s="18" t="s">
        <v>4903</v>
      </c>
      <c r="G403" s="18" t="s">
        <v>4904</v>
      </c>
      <c r="H403" s="16" t="n">
        <v>5893</v>
      </c>
    </row>
    <row r="404" customFormat="false" ht="15" hidden="false" customHeight="false" outlineLevel="0" collapsed="false">
      <c r="A404" s="18" t="s">
        <v>4905</v>
      </c>
      <c r="B404" s="18" t="s">
        <v>4906</v>
      </c>
      <c r="C404" s="18" t="s">
        <v>4907</v>
      </c>
      <c r="D404" s="16" t="n">
        <v>-2</v>
      </c>
      <c r="E404" s="18" t="s">
        <v>3255</v>
      </c>
      <c r="F404" s="18" t="s">
        <v>4908</v>
      </c>
      <c r="G404" s="18" t="s">
        <v>4909</v>
      </c>
      <c r="H404" s="16" t="n">
        <v>439153</v>
      </c>
    </row>
    <row r="405" customFormat="false" ht="15" hidden="false" customHeight="false" outlineLevel="0" collapsed="false">
      <c r="A405" s="18" t="s">
        <v>4910</v>
      </c>
      <c r="B405" s="18" t="s">
        <v>4911</v>
      </c>
      <c r="C405" s="18" t="s">
        <v>4912</v>
      </c>
      <c r="D405" s="16" t="n">
        <v>-3</v>
      </c>
      <c r="E405" s="18" t="s">
        <v>3255</v>
      </c>
      <c r="F405" s="18" t="s">
        <v>4913</v>
      </c>
      <c r="G405" s="18" t="s">
        <v>4914</v>
      </c>
      <c r="H405" s="16" t="n">
        <v>5886</v>
      </c>
    </row>
    <row r="406" customFormat="false" ht="15" hidden="false" customHeight="false" outlineLevel="0" collapsed="false">
      <c r="A406" s="18" t="s">
        <v>4915</v>
      </c>
      <c r="B406" s="18" t="s">
        <v>4916</v>
      </c>
      <c r="C406" s="18" t="s">
        <v>4917</v>
      </c>
      <c r="D406" s="16" t="n">
        <v>-4</v>
      </c>
      <c r="E406" s="18" t="s">
        <v>3255</v>
      </c>
      <c r="F406" s="18" t="s">
        <v>4918</v>
      </c>
      <c r="G406" s="18" t="s">
        <v>4919</v>
      </c>
      <c r="H406" s="16" t="n">
        <v>5884</v>
      </c>
    </row>
    <row r="407" customFormat="false" ht="15" hidden="false" customHeight="false" outlineLevel="0" collapsed="false">
      <c r="A407" s="18" t="s">
        <v>4920</v>
      </c>
      <c r="B407" s="18" t="s">
        <v>4921</v>
      </c>
      <c r="C407" s="18" t="s">
        <v>4922</v>
      </c>
      <c r="D407" s="16" t="n">
        <v>1</v>
      </c>
      <c r="E407" s="18" t="s">
        <v>3255</v>
      </c>
      <c r="F407" s="18" t="s">
        <v>4923</v>
      </c>
      <c r="G407" s="18" t="s">
        <v>4924</v>
      </c>
      <c r="H407" s="16" t="n">
        <v>223</v>
      </c>
    </row>
    <row r="408" customFormat="false" ht="15" hidden="false" customHeight="false" outlineLevel="0" collapsed="false">
      <c r="A408" s="18" t="s">
        <v>4925</v>
      </c>
      <c r="B408" s="18" t="s">
        <v>4921</v>
      </c>
      <c r="C408" s="18" t="s">
        <v>4922</v>
      </c>
      <c r="D408" s="16" t="n">
        <v>1</v>
      </c>
      <c r="E408" s="18" t="s">
        <v>3592</v>
      </c>
      <c r="F408" s="18" t="s">
        <v>4923</v>
      </c>
      <c r="G408" s="18" t="s">
        <v>4924</v>
      </c>
      <c r="H408" s="16" t="n">
        <v>223</v>
      </c>
    </row>
    <row r="409" customFormat="false" ht="15" hidden="false" customHeight="false" outlineLevel="0" collapsed="false">
      <c r="A409" s="18" t="s">
        <v>4926</v>
      </c>
      <c r="B409" s="18" t="s">
        <v>4921</v>
      </c>
      <c r="C409" s="18" t="s">
        <v>4922</v>
      </c>
      <c r="D409" s="16" t="n">
        <v>1</v>
      </c>
      <c r="E409" s="18" t="s">
        <v>3594</v>
      </c>
      <c r="F409" s="18" t="s">
        <v>4923</v>
      </c>
      <c r="G409" s="18" t="s">
        <v>4924</v>
      </c>
      <c r="H409" s="16" t="n">
        <v>223</v>
      </c>
    </row>
    <row r="410" customFormat="false" ht="15" hidden="false" customHeight="false" outlineLevel="0" collapsed="false">
      <c r="A410" s="18" t="s">
        <v>4927</v>
      </c>
      <c r="B410" s="18" t="s">
        <v>4928</v>
      </c>
      <c r="C410" s="18" t="s">
        <v>4929</v>
      </c>
      <c r="D410" s="16" t="n">
        <v>-2</v>
      </c>
      <c r="E410" s="18" t="s">
        <v>3255</v>
      </c>
      <c r="F410" s="18" t="s">
        <v>4930</v>
      </c>
      <c r="G410" s="18" t="s">
        <v>4931</v>
      </c>
      <c r="H410" s="16" t="n">
        <v>121992</v>
      </c>
    </row>
    <row r="411" customFormat="false" ht="15" hidden="false" customHeight="false" outlineLevel="0" collapsed="false">
      <c r="A411" s="18" t="s">
        <v>4932</v>
      </c>
      <c r="B411" s="18" t="s">
        <v>4933</v>
      </c>
      <c r="C411" s="18" t="s">
        <v>4934</v>
      </c>
      <c r="D411" s="16" t="n">
        <v>-1</v>
      </c>
      <c r="E411" s="18" t="s">
        <v>3255</v>
      </c>
    </row>
    <row r="412" customFormat="false" ht="15" hidden="false" customHeight="false" outlineLevel="0" collapsed="false">
      <c r="A412" s="18" t="s">
        <v>4935</v>
      </c>
      <c r="B412" s="18" t="s">
        <v>4936</v>
      </c>
      <c r="C412" s="18" t="s">
        <v>4937</v>
      </c>
      <c r="D412" s="16" t="n">
        <v>-1</v>
      </c>
      <c r="E412" s="18" t="s">
        <v>3255</v>
      </c>
    </row>
    <row r="413" customFormat="false" ht="15" hidden="false" customHeight="false" outlineLevel="0" collapsed="false">
      <c r="A413" s="18" t="s">
        <v>4938</v>
      </c>
      <c r="B413" s="18" t="s">
        <v>4939</v>
      </c>
      <c r="C413" s="18" t="s">
        <v>4939</v>
      </c>
      <c r="D413" s="16" t="n">
        <v>0</v>
      </c>
      <c r="E413" s="18" t="s">
        <v>3255</v>
      </c>
      <c r="F413" s="18" t="s">
        <v>4940</v>
      </c>
      <c r="G413" s="18" t="s">
        <v>4941</v>
      </c>
      <c r="H413" s="16" t="n">
        <v>977</v>
      </c>
    </row>
    <row r="414" customFormat="false" ht="15" hidden="false" customHeight="false" outlineLevel="0" collapsed="false">
      <c r="A414" s="18" t="s">
        <v>4942</v>
      </c>
      <c r="B414" s="18" t="s">
        <v>4939</v>
      </c>
      <c r="C414" s="18" t="s">
        <v>4939</v>
      </c>
      <c r="D414" s="16" t="n">
        <v>0</v>
      </c>
      <c r="E414" s="18" t="s">
        <v>3592</v>
      </c>
      <c r="F414" s="18" t="s">
        <v>4940</v>
      </c>
      <c r="G414" s="18" t="s">
        <v>4941</v>
      </c>
      <c r="H414" s="16" t="n">
        <v>977</v>
      </c>
    </row>
    <row r="415" customFormat="false" ht="15" hidden="false" customHeight="false" outlineLevel="0" collapsed="false">
      <c r="A415" s="18" t="s">
        <v>4943</v>
      </c>
      <c r="B415" s="18" t="s">
        <v>4939</v>
      </c>
      <c r="C415" s="18" t="s">
        <v>4939</v>
      </c>
      <c r="D415" s="16" t="n">
        <v>0</v>
      </c>
      <c r="E415" s="18" t="s">
        <v>3594</v>
      </c>
      <c r="F415" s="18" t="s">
        <v>4940</v>
      </c>
      <c r="G415" s="18" t="s">
        <v>4941</v>
      </c>
      <c r="H415" s="16" t="n">
        <v>977</v>
      </c>
    </row>
    <row r="416" customFormat="false" ht="15" hidden="false" customHeight="false" outlineLevel="0" collapsed="false">
      <c r="A416" s="18" t="s">
        <v>4944</v>
      </c>
      <c r="B416" s="18" t="s">
        <v>4945</v>
      </c>
      <c r="C416" s="18" t="s">
        <v>4946</v>
      </c>
      <c r="D416" s="16" t="n">
        <v>-2</v>
      </c>
      <c r="E416" s="18" t="s">
        <v>3255</v>
      </c>
      <c r="F416" s="18" t="s">
        <v>4947</v>
      </c>
      <c r="G416" s="18" t="s">
        <v>4948</v>
      </c>
      <c r="H416" s="16" t="n">
        <v>970</v>
      </c>
    </row>
    <row r="417" customFormat="false" ht="15" hidden="false" customHeight="false" outlineLevel="0" collapsed="false">
      <c r="A417" s="18" t="s">
        <v>4949</v>
      </c>
      <c r="B417" s="18" t="s">
        <v>4950</v>
      </c>
      <c r="C417" s="18" t="s">
        <v>4951</v>
      </c>
      <c r="D417" s="16" t="n">
        <v>-1</v>
      </c>
      <c r="E417" s="18" t="s">
        <v>3255</v>
      </c>
      <c r="G417" s="18" t="s">
        <v>4952</v>
      </c>
    </row>
    <row r="418" customFormat="false" ht="15" hidden="false" customHeight="false" outlineLevel="0" collapsed="false">
      <c r="A418" s="18" t="s">
        <v>4953</v>
      </c>
      <c r="B418" s="18" t="s">
        <v>4954</v>
      </c>
      <c r="C418" s="18" t="s">
        <v>4955</v>
      </c>
      <c r="D418" s="16" t="n">
        <v>-1</v>
      </c>
      <c r="E418" s="18" t="s">
        <v>3255</v>
      </c>
      <c r="G418" s="18" t="s">
        <v>4956</v>
      </c>
    </row>
    <row r="419" customFormat="false" ht="15" hidden="false" customHeight="false" outlineLevel="0" collapsed="false">
      <c r="A419" s="18" t="s">
        <v>4957</v>
      </c>
      <c r="B419" s="18" t="s">
        <v>4958</v>
      </c>
      <c r="C419" s="18" t="s">
        <v>4959</v>
      </c>
      <c r="D419" s="16" t="n">
        <v>-3</v>
      </c>
      <c r="E419" s="18" t="s">
        <v>3255</v>
      </c>
      <c r="F419" s="18" t="s">
        <v>4960</v>
      </c>
      <c r="G419" s="18" t="s">
        <v>4961</v>
      </c>
      <c r="H419" s="16" t="n">
        <v>5280651</v>
      </c>
    </row>
    <row r="420" customFormat="false" ht="15" hidden="false" customHeight="false" outlineLevel="0" collapsed="false">
      <c r="A420" s="18" t="s">
        <v>4962</v>
      </c>
      <c r="B420" s="18" t="s">
        <v>4963</v>
      </c>
      <c r="C420" s="18" t="s">
        <v>3410</v>
      </c>
      <c r="D420" s="16" t="n">
        <v>-1</v>
      </c>
      <c r="E420" s="18" t="s">
        <v>3255</v>
      </c>
    </row>
    <row r="421" customFormat="false" ht="15" hidden="false" customHeight="false" outlineLevel="0" collapsed="false">
      <c r="A421" s="18" t="s">
        <v>4964</v>
      </c>
      <c r="B421" s="18" t="s">
        <v>4965</v>
      </c>
      <c r="C421" s="18" t="s">
        <v>4966</v>
      </c>
      <c r="D421" s="16" t="n">
        <v>-3</v>
      </c>
      <c r="E421" s="18" t="s">
        <v>3255</v>
      </c>
      <c r="F421" s="18" t="s">
        <v>4967</v>
      </c>
      <c r="G421" s="18" t="s">
        <v>4968</v>
      </c>
      <c r="H421" s="16" t="n">
        <v>440900</v>
      </c>
    </row>
    <row r="422" customFormat="false" ht="15" hidden="false" customHeight="false" outlineLevel="0" collapsed="false">
      <c r="A422" s="18" t="s">
        <v>4969</v>
      </c>
      <c r="B422" s="18" t="s">
        <v>4970</v>
      </c>
      <c r="C422" s="18" t="s">
        <v>4971</v>
      </c>
      <c r="D422" s="16" t="n">
        <v>1</v>
      </c>
      <c r="E422" s="18" t="s">
        <v>3255</v>
      </c>
      <c r="F422" s="18" t="s">
        <v>4972</v>
      </c>
      <c r="G422" s="18" t="s">
        <v>4973</v>
      </c>
      <c r="H422" s="16" t="n">
        <v>6262</v>
      </c>
    </row>
    <row r="423" customFormat="false" ht="15" hidden="false" customHeight="false" outlineLevel="0" collapsed="false">
      <c r="A423" s="18" t="s">
        <v>4974</v>
      </c>
      <c r="B423" s="18" t="s">
        <v>4975</v>
      </c>
      <c r="C423" s="18" t="s">
        <v>4976</v>
      </c>
      <c r="D423" s="16" t="n">
        <v>-3</v>
      </c>
      <c r="E423" s="18" t="s">
        <v>3255</v>
      </c>
      <c r="F423" s="18" t="s">
        <v>4977</v>
      </c>
      <c r="G423" s="18" t="s">
        <v>4978</v>
      </c>
      <c r="H423" s="16" t="n">
        <v>160617</v>
      </c>
    </row>
    <row r="424" customFormat="false" ht="15" hidden="false" customHeight="false" outlineLevel="0" collapsed="false">
      <c r="A424" s="18" t="s">
        <v>4979</v>
      </c>
      <c r="B424" s="18" t="s">
        <v>4980</v>
      </c>
      <c r="C424" s="18" t="s">
        <v>4981</v>
      </c>
      <c r="D424" s="16" t="n">
        <v>-1</v>
      </c>
      <c r="E424" s="18" t="s">
        <v>3255</v>
      </c>
      <c r="F424" s="18" t="s">
        <v>4982</v>
      </c>
      <c r="G424" s="18" t="s">
        <v>4983</v>
      </c>
      <c r="H424" s="16" t="n">
        <v>967</v>
      </c>
    </row>
    <row r="425" customFormat="false" ht="15" hidden="false" customHeight="false" outlineLevel="0" collapsed="false">
      <c r="A425" s="18" t="s">
        <v>4984</v>
      </c>
      <c r="B425" s="18" t="s">
        <v>4985</v>
      </c>
      <c r="C425" s="18" t="s">
        <v>4986</v>
      </c>
      <c r="D425" s="16" t="n">
        <v>-3</v>
      </c>
      <c r="E425" s="18" t="s">
        <v>3255</v>
      </c>
      <c r="F425" s="18" t="s">
        <v>4987</v>
      </c>
      <c r="G425" s="18" t="s">
        <v>4988</v>
      </c>
      <c r="H425" s="16" t="n">
        <v>972</v>
      </c>
    </row>
    <row r="426" customFormat="false" ht="15" hidden="false" customHeight="false" outlineLevel="0" collapsed="false">
      <c r="A426" s="18" t="s">
        <v>4989</v>
      </c>
      <c r="B426" s="18" t="s">
        <v>4990</v>
      </c>
      <c r="C426" s="18" t="s">
        <v>4991</v>
      </c>
      <c r="D426" s="16" t="n">
        <v>-1</v>
      </c>
      <c r="E426" s="18" t="s">
        <v>3255</v>
      </c>
      <c r="G426" s="18" t="s">
        <v>4992</v>
      </c>
    </row>
    <row r="427" customFormat="false" ht="15" hidden="false" customHeight="false" outlineLevel="0" collapsed="false">
      <c r="A427" s="18" t="s">
        <v>4993</v>
      </c>
      <c r="B427" s="18" t="s">
        <v>4994</v>
      </c>
      <c r="C427" s="18" t="s">
        <v>3284</v>
      </c>
      <c r="D427" s="16" t="n">
        <v>-1</v>
      </c>
      <c r="E427" s="18" t="s">
        <v>3255</v>
      </c>
      <c r="F427" s="18" t="s">
        <v>4995</v>
      </c>
      <c r="G427" s="18" t="s">
        <v>4996</v>
      </c>
      <c r="H427" s="16" t="n">
        <v>439251</v>
      </c>
    </row>
    <row r="428" customFormat="false" ht="15" hidden="false" customHeight="false" outlineLevel="0" collapsed="false">
      <c r="A428" s="18" t="s">
        <v>4997</v>
      </c>
      <c r="B428" s="18" t="s">
        <v>4998</v>
      </c>
      <c r="C428" s="18" t="s">
        <v>4999</v>
      </c>
      <c r="D428" s="16" t="n">
        <v>-4</v>
      </c>
      <c r="E428" s="18" t="s">
        <v>3255</v>
      </c>
      <c r="F428" s="18" t="s">
        <v>5000</v>
      </c>
      <c r="G428" s="18" t="s">
        <v>5001</v>
      </c>
      <c r="H428" s="16" t="n">
        <v>159296</v>
      </c>
    </row>
    <row r="429" customFormat="false" ht="15" hidden="false" customHeight="false" outlineLevel="0" collapsed="false">
      <c r="A429" s="18" t="s">
        <v>5002</v>
      </c>
      <c r="B429" s="18" t="s">
        <v>5003</v>
      </c>
      <c r="C429" s="18" t="s">
        <v>5004</v>
      </c>
      <c r="D429" s="16" t="n">
        <v>-4</v>
      </c>
      <c r="E429" s="18" t="s">
        <v>3255</v>
      </c>
      <c r="F429" s="18" t="s">
        <v>5005</v>
      </c>
      <c r="G429" s="18" t="s">
        <v>5006</v>
      </c>
      <c r="H429" s="16" t="n">
        <v>10214</v>
      </c>
    </row>
    <row r="430" customFormat="false" ht="15" hidden="false" customHeight="false" outlineLevel="0" collapsed="false">
      <c r="A430" s="18" t="s">
        <v>5007</v>
      </c>
      <c r="B430" s="18" t="s">
        <v>5008</v>
      </c>
      <c r="C430" s="18" t="s">
        <v>5009</v>
      </c>
      <c r="D430" s="16" t="n">
        <v>-2</v>
      </c>
      <c r="E430" s="18" t="s">
        <v>3255</v>
      </c>
      <c r="F430" s="18" t="s">
        <v>5010</v>
      </c>
      <c r="G430" s="18" t="s">
        <v>5011</v>
      </c>
      <c r="H430" s="16" t="n">
        <v>1055</v>
      </c>
    </row>
    <row r="431" customFormat="false" ht="15" hidden="false" customHeight="false" outlineLevel="0" collapsed="false">
      <c r="A431" s="18" t="s">
        <v>5012</v>
      </c>
      <c r="B431" s="18" t="s">
        <v>5013</v>
      </c>
      <c r="D431" s="16" t="n">
        <v>0</v>
      </c>
      <c r="E431" s="18" t="s">
        <v>3255</v>
      </c>
    </row>
    <row r="432" customFormat="false" ht="15" hidden="false" customHeight="false" outlineLevel="0" collapsed="false">
      <c r="A432" s="18" t="s">
        <v>5014</v>
      </c>
      <c r="B432" s="18" t="s">
        <v>5015</v>
      </c>
      <c r="C432" s="18" t="s">
        <v>5016</v>
      </c>
      <c r="D432" s="16" t="n">
        <v>-3</v>
      </c>
      <c r="E432" s="18" t="s">
        <v>3255</v>
      </c>
      <c r="F432" s="18" t="s">
        <v>5017</v>
      </c>
      <c r="G432" s="18" t="s">
        <v>5018</v>
      </c>
      <c r="H432" s="16" t="n">
        <v>1005</v>
      </c>
    </row>
    <row r="433" customFormat="false" ht="15" hidden="false" customHeight="false" outlineLevel="0" collapsed="false">
      <c r="A433" s="18" t="s">
        <v>5019</v>
      </c>
      <c r="B433" s="18" t="s">
        <v>5020</v>
      </c>
      <c r="C433" s="18" t="s">
        <v>5021</v>
      </c>
      <c r="D433" s="16" t="n">
        <v>-1</v>
      </c>
      <c r="E433" s="18" t="s">
        <v>3255</v>
      </c>
      <c r="F433" s="18" t="s">
        <v>5022</v>
      </c>
      <c r="G433" s="18" t="s">
        <v>5023</v>
      </c>
    </row>
    <row r="434" customFormat="false" ht="15" hidden="false" customHeight="false" outlineLevel="0" collapsed="false">
      <c r="A434" s="18" t="s">
        <v>5024</v>
      </c>
      <c r="B434" s="18" t="s">
        <v>5025</v>
      </c>
      <c r="D434" s="16" t="n">
        <v>0</v>
      </c>
      <c r="E434" s="18" t="s">
        <v>3255</v>
      </c>
    </row>
    <row r="435" customFormat="false" ht="15" hidden="false" customHeight="false" outlineLevel="0" collapsed="false">
      <c r="A435" s="18" t="s">
        <v>5026</v>
      </c>
      <c r="B435" s="18" t="s">
        <v>5027</v>
      </c>
      <c r="C435" s="18" t="s">
        <v>5028</v>
      </c>
      <c r="D435" s="16" t="n">
        <v>0</v>
      </c>
      <c r="E435" s="18" t="s">
        <v>3255</v>
      </c>
      <c r="F435" s="18" t="s">
        <v>5029</v>
      </c>
      <c r="G435" s="18" t="s">
        <v>5030</v>
      </c>
      <c r="H435" s="16" t="n">
        <v>6140</v>
      </c>
    </row>
    <row r="436" customFormat="false" ht="15" hidden="false" customHeight="false" outlineLevel="0" collapsed="false">
      <c r="A436" s="18" t="s">
        <v>5031</v>
      </c>
      <c r="B436" s="18" t="s">
        <v>5032</v>
      </c>
      <c r="C436" s="18" t="s">
        <v>5033</v>
      </c>
      <c r="D436" s="16" t="n">
        <v>-2</v>
      </c>
      <c r="E436" s="18" t="s">
        <v>3255</v>
      </c>
      <c r="F436" s="18" t="s">
        <v>5034</v>
      </c>
      <c r="G436" s="18" t="s">
        <v>5035</v>
      </c>
      <c r="H436" s="16" t="n">
        <v>4973</v>
      </c>
    </row>
    <row r="437" customFormat="false" ht="15" hidden="false" customHeight="false" outlineLevel="0" collapsed="false">
      <c r="A437" s="18" t="s">
        <v>5036</v>
      </c>
      <c r="B437" s="18" t="s">
        <v>5037</v>
      </c>
      <c r="C437" s="18" t="s">
        <v>5038</v>
      </c>
      <c r="D437" s="16" t="n">
        <v>-2</v>
      </c>
      <c r="E437" s="18" t="s">
        <v>3255</v>
      </c>
      <c r="F437" s="18" t="s">
        <v>5039</v>
      </c>
      <c r="G437" s="18" t="s">
        <v>5040</v>
      </c>
      <c r="H437" s="16" t="n">
        <v>151187</v>
      </c>
    </row>
    <row r="438" customFormat="false" ht="15" hidden="false" customHeight="false" outlineLevel="0" collapsed="false">
      <c r="A438" s="18" t="s">
        <v>5041</v>
      </c>
      <c r="B438" s="18" t="s">
        <v>5042</v>
      </c>
      <c r="C438" s="18" t="s">
        <v>5043</v>
      </c>
      <c r="D438" s="16" t="n">
        <v>-1</v>
      </c>
      <c r="E438" s="18" t="s">
        <v>3255</v>
      </c>
      <c r="F438" s="18" t="s">
        <v>5044</v>
      </c>
      <c r="G438" s="18" t="s">
        <v>5045</v>
      </c>
      <c r="H438" s="16" t="n">
        <v>997</v>
      </c>
    </row>
    <row r="439" customFormat="false" ht="15" hidden="false" customHeight="false" outlineLevel="0" collapsed="false">
      <c r="A439" s="18" t="s">
        <v>5046</v>
      </c>
      <c r="B439" s="18" t="s">
        <v>5047</v>
      </c>
      <c r="C439" s="18" t="s">
        <v>5048</v>
      </c>
      <c r="D439" s="16" t="n">
        <v>-2</v>
      </c>
      <c r="E439" s="18" t="s">
        <v>3255</v>
      </c>
      <c r="F439" s="18" t="s">
        <v>5049</v>
      </c>
      <c r="G439" s="18" t="s">
        <v>5050</v>
      </c>
      <c r="H439" s="16" t="n">
        <v>440901</v>
      </c>
    </row>
    <row r="440" customFormat="false" ht="15" hidden="false" customHeight="false" outlineLevel="0" collapsed="false">
      <c r="A440" s="18" t="s">
        <v>5051</v>
      </c>
      <c r="B440" s="18" t="s">
        <v>5052</v>
      </c>
      <c r="C440" s="18" t="s">
        <v>5053</v>
      </c>
      <c r="D440" s="16" t="n">
        <v>-2</v>
      </c>
      <c r="E440" s="18" t="s">
        <v>3255</v>
      </c>
      <c r="F440" s="18" t="s">
        <v>5054</v>
      </c>
      <c r="G440" s="18" t="s">
        <v>5055</v>
      </c>
      <c r="H440" s="16" t="n">
        <v>1004</v>
      </c>
    </row>
    <row r="441" customFormat="false" ht="15" hidden="false" customHeight="false" outlineLevel="0" collapsed="false">
      <c r="A441" s="18" t="s">
        <v>5056</v>
      </c>
      <c r="B441" s="18" t="s">
        <v>5052</v>
      </c>
      <c r="C441" s="18" t="s">
        <v>5053</v>
      </c>
      <c r="D441" s="16" t="n">
        <v>-2</v>
      </c>
      <c r="E441" s="18" t="s">
        <v>3592</v>
      </c>
      <c r="F441" s="18" t="s">
        <v>5054</v>
      </c>
      <c r="G441" s="18" t="s">
        <v>5055</v>
      </c>
      <c r="H441" s="16" t="n">
        <v>1004</v>
      </c>
    </row>
    <row r="442" customFormat="false" ht="15" hidden="false" customHeight="false" outlineLevel="0" collapsed="false">
      <c r="A442" s="18" t="s">
        <v>5057</v>
      </c>
      <c r="B442" s="18" t="s">
        <v>5052</v>
      </c>
      <c r="C442" s="18" t="s">
        <v>5053</v>
      </c>
      <c r="D442" s="16" t="n">
        <v>-2</v>
      </c>
      <c r="E442" s="18" t="s">
        <v>3594</v>
      </c>
      <c r="F442" s="18" t="s">
        <v>5054</v>
      </c>
      <c r="G442" s="18" t="s">
        <v>5055</v>
      </c>
      <c r="H442" s="16" t="n">
        <v>1004</v>
      </c>
    </row>
    <row r="443" customFormat="false" ht="15" hidden="false" customHeight="false" outlineLevel="0" collapsed="false">
      <c r="A443" s="18" t="s">
        <v>5058</v>
      </c>
      <c r="B443" s="18" t="s">
        <v>5059</v>
      </c>
      <c r="C443" s="18" t="s">
        <v>5060</v>
      </c>
      <c r="D443" s="16" t="n">
        <v>-5</v>
      </c>
      <c r="E443" s="18" t="s">
        <v>3255</v>
      </c>
      <c r="F443" s="18" t="s">
        <v>5061</v>
      </c>
      <c r="G443" s="18" t="s">
        <v>5062</v>
      </c>
      <c r="H443" s="16" t="n">
        <v>439385</v>
      </c>
    </row>
    <row r="444" customFormat="false" ht="15" hidden="false" customHeight="false" outlineLevel="0" collapsed="false">
      <c r="A444" s="18" t="s">
        <v>5063</v>
      </c>
      <c r="B444" s="18" t="s">
        <v>5064</v>
      </c>
      <c r="C444" s="18" t="s">
        <v>5065</v>
      </c>
      <c r="D444" s="16" t="n">
        <v>-1</v>
      </c>
      <c r="E444" s="18" t="s">
        <v>3255</v>
      </c>
      <c r="F444" s="18" t="s">
        <v>5066</v>
      </c>
      <c r="G444" s="18" t="s">
        <v>5067</v>
      </c>
      <c r="H444" s="16" t="n">
        <v>167945</v>
      </c>
    </row>
    <row r="445" customFormat="false" ht="15" hidden="false" customHeight="false" outlineLevel="0" collapsed="false">
      <c r="A445" s="18" t="s">
        <v>5068</v>
      </c>
      <c r="B445" s="18" t="s">
        <v>5069</v>
      </c>
      <c r="C445" s="18" t="s">
        <v>5070</v>
      </c>
      <c r="D445" s="16" t="n">
        <v>-3</v>
      </c>
      <c r="E445" s="18" t="s">
        <v>3255</v>
      </c>
      <c r="F445" s="18" t="s">
        <v>5071</v>
      </c>
      <c r="G445" s="18" t="s">
        <v>5072</v>
      </c>
    </row>
    <row r="446" customFormat="false" ht="15" hidden="false" customHeight="false" outlineLevel="0" collapsed="false">
      <c r="A446" s="18" t="s">
        <v>5073</v>
      </c>
      <c r="B446" s="18" t="s">
        <v>5069</v>
      </c>
      <c r="C446" s="18" t="s">
        <v>5070</v>
      </c>
      <c r="D446" s="16" t="n">
        <v>-3</v>
      </c>
      <c r="E446" s="18" t="s">
        <v>3592</v>
      </c>
      <c r="F446" s="18" t="s">
        <v>5071</v>
      </c>
      <c r="G446" s="18" t="s">
        <v>5072</v>
      </c>
    </row>
    <row r="447" customFormat="false" ht="15" hidden="false" customHeight="false" outlineLevel="0" collapsed="false">
      <c r="A447" s="18" t="s">
        <v>5074</v>
      </c>
      <c r="B447" s="18" t="s">
        <v>5069</v>
      </c>
      <c r="C447" s="18" t="s">
        <v>5070</v>
      </c>
      <c r="D447" s="16" t="n">
        <v>-3</v>
      </c>
      <c r="E447" s="18" t="s">
        <v>3594</v>
      </c>
      <c r="F447" s="18" t="s">
        <v>5071</v>
      </c>
      <c r="G447" s="18" t="s">
        <v>5072</v>
      </c>
    </row>
    <row r="448" customFormat="false" ht="15" hidden="false" customHeight="false" outlineLevel="0" collapsed="false">
      <c r="A448" s="18" t="s">
        <v>5075</v>
      </c>
      <c r="B448" s="18" t="s">
        <v>5076</v>
      </c>
      <c r="D448" s="16" t="n">
        <v>0</v>
      </c>
      <c r="E448" s="18" t="s">
        <v>3255</v>
      </c>
    </row>
    <row r="449" customFormat="false" ht="15" hidden="false" customHeight="false" outlineLevel="0" collapsed="false">
      <c r="A449" s="18" t="s">
        <v>5077</v>
      </c>
      <c r="B449" s="18" t="s">
        <v>5078</v>
      </c>
      <c r="C449" s="18" t="s">
        <v>5079</v>
      </c>
      <c r="D449" s="16" t="n">
        <v>-1</v>
      </c>
      <c r="E449" s="18" t="s">
        <v>3255</v>
      </c>
      <c r="F449" s="18" t="s">
        <v>5080</v>
      </c>
      <c r="G449" s="18" t="s">
        <v>5081</v>
      </c>
      <c r="H449" s="16" t="n">
        <v>1021</v>
      </c>
    </row>
    <row r="450" customFormat="false" ht="15" hidden="false" customHeight="false" outlineLevel="0" collapsed="false">
      <c r="A450" s="18" t="s">
        <v>5082</v>
      </c>
      <c r="B450" s="18" t="s">
        <v>5083</v>
      </c>
      <c r="C450" s="18" t="s">
        <v>5084</v>
      </c>
      <c r="D450" s="16" t="n">
        <v>-4</v>
      </c>
      <c r="E450" s="18" t="s">
        <v>3255</v>
      </c>
      <c r="F450" s="18" t="s">
        <v>5085</v>
      </c>
      <c r="G450" s="18" t="s">
        <v>5086</v>
      </c>
      <c r="H450" s="16" t="n">
        <v>439164</v>
      </c>
    </row>
    <row r="451" customFormat="false" ht="15" hidden="false" customHeight="false" outlineLevel="0" collapsed="false">
      <c r="A451" s="18" t="s">
        <v>5087</v>
      </c>
      <c r="B451" s="18" t="s">
        <v>5088</v>
      </c>
      <c r="C451" s="18" t="s">
        <v>4018</v>
      </c>
      <c r="D451" s="16" t="n">
        <v>-2</v>
      </c>
      <c r="E451" s="18" t="s">
        <v>3255</v>
      </c>
      <c r="F451" s="18" t="s">
        <v>5089</v>
      </c>
      <c r="G451" s="18" t="s">
        <v>5090</v>
      </c>
      <c r="H451" s="16" t="n">
        <v>1028</v>
      </c>
    </row>
    <row r="452" customFormat="false" ht="15" hidden="false" customHeight="false" outlineLevel="0" collapsed="false">
      <c r="A452" s="18" t="s">
        <v>5091</v>
      </c>
      <c r="B452" s="18" t="s">
        <v>5092</v>
      </c>
      <c r="C452" s="18" t="s">
        <v>5070</v>
      </c>
      <c r="D452" s="16" t="n">
        <v>-3</v>
      </c>
      <c r="E452" s="18" t="s">
        <v>3255</v>
      </c>
      <c r="F452" s="18" t="s">
        <v>5093</v>
      </c>
      <c r="G452" s="18" t="s">
        <v>5094</v>
      </c>
      <c r="H452" s="16" t="n">
        <v>1023</v>
      </c>
    </row>
    <row r="453" customFormat="false" ht="15" hidden="false" customHeight="false" outlineLevel="0" collapsed="false">
      <c r="A453" s="18" t="s">
        <v>5095</v>
      </c>
      <c r="B453" s="18" t="s">
        <v>5096</v>
      </c>
      <c r="D453" s="16" t="n">
        <v>0</v>
      </c>
      <c r="E453" s="18" t="s">
        <v>3255</v>
      </c>
    </row>
    <row r="454" customFormat="false" ht="15" hidden="false" customHeight="false" outlineLevel="0" collapsed="false">
      <c r="A454" s="18" t="s">
        <v>5097</v>
      </c>
      <c r="B454" s="18" t="s">
        <v>5098</v>
      </c>
      <c r="C454" s="18" t="s">
        <v>5099</v>
      </c>
      <c r="D454" s="16" t="n">
        <v>-2</v>
      </c>
      <c r="E454" s="18" t="s">
        <v>3255</v>
      </c>
      <c r="F454" s="18" t="s">
        <v>5100</v>
      </c>
      <c r="G454" s="18" t="s">
        <v>5101</v>
      </c>
      <c r="H454" s="16" t="n">
        <v>4971</v>
      </c>
    </row>
    <row r="455" customFormat="false" ht="15" hidden="false" customHeight="false" outlineLevel="0" collapsed="false">
      <c r="A455" s="18" t="s">
        <v>5102</v>
      </c>
      <c r="B455" s="18" t="s">
        <v>5103</v>
      </c>
      <c r="C455" s="18" t="s">
        <v>5104</v>
      </c>
      <c r="D455" s="16" t="n">
        <v>-2</v>
      </c>
      <c r="E455" s="18" t="s">
        <v>3255</v>
      </c>
      <c r="F455" s="18" t="s">
        <v>5105</v>
      </c>
      <c r="G455" s="18" t="s">
        <v>5106</v>
      </c>
      <c r="H455" s="16" t="n">
        <v>121893</v>
      </c>
    </row>
    <row r="456" customFormat="false" ht="15" hidden="false" customHeight="false" outlineLevel="0" collapsed="false">
      <c r="A456" s="18" t="s">
        <v>5107</v>
      </c>
      <c r="B456" s="18" t="s">
        <v>5108</v>
      </c>
      <c r="C456" s="18" t="s">
        <v>5109</v>
      </c>
      <c r="D456" s="16" t="n">
        <v>-4</v>
      </c>
      <c r="E456" s="18" t="s">
        <v>3255</v>
      </c>
      <c r="F456" s="18" t="s">
        <v>5110</v>
      </c>
      <c r="G456" s="18" t="s">
        <v>5111</v>
      </c>
      <c r="H456" s="16" t="n">
        <v>983</v>
      </c>
    </row>
    <row r="457" customFormat="false" ht="15" hidden="false" customHeight="false" outlineLevel="0" collapsed="false">
      <c r="A457" s="18" t="s">
        <v>5112</v>
      </c>
      <c r="B457" s="18" t="s">
        <v>5113</v>
      </c>
      <c r="C457" s="18" t="s">
        <v>5114</v>
      </c>
      <c r="D457" s="16" t="n">
        <v>-1</v>
      </c>
      <c r="E457" s="18" t="s">
        <v>3255</v>
      </c>
      <c r="F457" s="18" t="s">
        <v>5115</v>
      </c>
      <c r="G457" s="18" t="s">
        <v>5116</v>
      </c>
      <c r="H457" s="16" t="n">
        <v>3084169</v>
      </c>
    </row>
    <row r="458" customFormat="false" ht="15" hidden="false" customHeight="false" outlineLevel="0" collapsed="false">
      <c r="A458" s="18" t="s">
        <v>5117</v>
      </c>
      <c r="B458" s="18" t="s">
        <v>5113</v>
      </c>
      <c r="C458" s="18" t="s">
        <v>5114</v>
      </c>
      <c r="D458" s="16" t="n">
        <v>-1</v>
      </c>
      <c r="E458" s="18" t="s">
        <v>3592</v>
      </c>
      <c r="F458" s="18" t="s">
        <v>5115</v>
      </c>
      <c r="G458" s="18" t="s">
        <v>5116</v>
      </c>
      <c r="H458" s="16" t="n">
        <v>3084169</v>
      </c>
    </row>
    <row r="459" customFormat="false" ht="15" hidden="false" customHeight="false" outlineLevel="0" collapsed="false">
      <c r="A459" s="18" t="s">
        <v>5118</v>
      </c>
      <c r="B459" s="18" t="s">
        <v>5113</v>
      </c>
      <c r="C459" s="18" t="s">
        <v>5114</v>
      </c>
      <c r="D459" s="16" t="n">
        <v>-1</v>
      </c>
      <c r="E459" s="18" t="s">
        <v>3594</v>
      </c>
      <c r="F459" s="18" t="s">
        <v>5115</v>
      </c>
      <c r="G459" s="18" t="s">
        <v>5116</v>
      </c>
      <c r="H459" s="16" t="n">
        <v>3084169</v>
      </c>
    </row>
    <row r="460" customFormat="false" ht="15" hidden="false" customHeight="false" outlineLevel="0" collapsed="false">
      <c r="A460" s="18" t="s">
        <v>5119</v>
      </c>
      <c r="B460" s="18" t="s">
        <v>5120</v>
      </c>
      <c r="C460" s="18" t="s">
        <v>5121</v>
      </c>
      <c r="D460" s="16" t="n">
        <v>-1</v>
      </c>
      <c r="E460" s="18" t="s">
        <v>3255</v>
      </c>
      <c r="F460" s="18" t="s">
        <v>5122</v>
      </c>
      <c r="G460" s="18" t="s">
        <v>5123</v>
      </c>
      <c r="H460" s="16" t="n">
        <v>439905</v>
      </c>
    </row>
    <row r="461" customFormat="false" ht="15" hidden="false" customHeight="false" outlineLevel="0" collapsed="false">
      <c r="A461" s="18" t="s">
        <v>5124</v>
      </c>
      <c r="B461" s="18" t="s">
        <v>5125</v>
      </c>
      <c r="C461" s="18" t="s">
        <v>3313</v>
      </c>
      <c r="D461" s="16" t="n">
        <v>-3</v>
      </c>
      <c r="E461" s="18" t="s">
        <v>3255</v>
      </c>
      <c r="F461" s="18" t="s">
        <v>5126</v>
      </c>
      <c r="G461" s="18" t="s">
        <v>5127</v>
      </c>
      <c r="H461" s="16" t="n">
        <v>440289</v>
      </c>
    </row>
    <row r="462" customFormat="false" ht="15" hidden="false" customHeight="false" outlineLevel="0" collapsed="false">
      <c r="A462" s="18" t="s">
        <v>5128</v>
      </c>
      <c r="B462" s="18" t="s">
        <v>5129</v>
      </c>
      <c r="C462" s="18" t="s">
        <v>5130</v>
      </c>
      <c r="D462" s="16" t="n">
        <v>-4</v>
      </c>
      <c r="E462" s="18" t="s">
        <v>3255</v>
      </c>
      <c r="F462" s="18" t="s">
        <v>5131</v>
      </c>
      <c r="G462" s="18" t="s">
        <v>5132</v>
      </c>
      <c r="H462" s="16" t="n">
        <v>439795</v>
      </c>
    </row>
    <row r="463" customFormat="false" ht="15" hidden="false" customHeight="false" outlineLevel="0" collapsed="false">
      <c r="A463" s="18" t="s">
        <v>5133</v>
      </c>
      <c r="B463" s="18" t="s">
        <v>5134</v>
      </c>
      <c r="C463" s="18" t="s">
        <v>5135</v>
      </c>
      <c r="D463" s="16" t="n">
        <v>-6</v>
      </c>
      <c r="E463" s="18" t="s">
        <v>3255</v>
      </c>
      <c r="F463" s="18" t="s">
        <v>5136</v>
      </c>
      <c r="G463" s="18" t="s">
        <v>5137</v>
      </c>
      <c r="H463" s="16" t="n">
        <v>439794</v>
      </c>
    </row>
    <row r="464" customFormat="false" ht="15" hidden="false" customHeight="false" outlineLevel="0" collapsed="false">
      <c r="A464" s="18" t="s">
        <v>5138</v>
      </c>
      <c r="B464" s="18" t="s">
        <v>5139</v>
      </c>
      <c r="C464" s="18" t="s">
        <v>5140</v>
      </c>
      <c r="D464" s="16" t="n">
        <v>-8</v>
      </c>
      <c r="E464" s="18" t="s">
        <v>3255</v>
      </c>
      <c r="G464" s="18" t="s">
        <v>5141</v>
      </c>
      <c r="H464" s="16" t="n">
        <v>11954200</v>
      </c>
    </row>
    <row r="465" customFormat="false" ht="15" hidden="false" customHeight="false" outlineLevel="0" collapsed="false">
      <c r="A465" s="18" t="s">
        <v>5142</v>
      </c>
      <c r="B465" s="18" t="s">
        <v>5143</v>
      </c>
      <c r="C465" s="18" t="s">
        <v>5144</v>
      </c>
      <c r="D465" s="16" t="n">
        <v>-4</v>
      </c>
      <c r="E465" s="18" t="s">
        <v>3255</v>
      </c>
      <c r="F465" s="18" t="s">
        <v>5145</v>
      </c>
      <c r="G465" s="18" t="s">
        <v>5146</v>
      </c>
      <c r="H465" s="16" t="n">
        <v>9548599</v>
      </c>
    </row>
    <row r="466" customFormat="false" ht="15" hidden="false" customHeight="false" outlineLevel="0" collapsed="false">
      <c r="A466" s="18" t="s">
        <v>5147</v>
      </c>
      <c r="B466" s="18" t="s">
        <v>5148</v>
      </c>
      <c r="C466" s="18" t="s">
        <v>5144</v>
      </c>
      <c r="D466" s="16" t="n">
        <v>-4</v>
      </c>
      <c r="E466" s="18" t="s">
        <v>3255</v>
      </c>
      <c r="F466" s="18" t="s">
        <v>5149</v>
      </c>
      <c r="G466" s="18" t="s">
        <v>5150</v>
      </c>
      <c r="H466" s="16" t="n">
        <v>193735</v>
      </c>
    </row>
    <row r="467" customFormat="false" ht="15" hidden="false" customHeight="false" outlineLevel="0" collapsed="false">
      <c r="A467" s="18" t="s">
        <v>5151</v>
      </c>
      <c r="B467" s="18" t="s">
        <v>5152</v>
      </c>
      <c r="C467" s="18" t="s">
        <v>5153</v>
      </c>
      <c r="D467" s="16" t="n">
        <v>0</v>
      </c>
      <c r="E467" s="18" t="s">
        <v>3255</v>
      </c>
      <c r="F467" s="18" t="s">
        <v>5154</v>
      </c>
      <c r="G467" s="18" t="s">
        <v>5155</v>
      </c>
      <c r="H467" s="16" t="n">
        <v>145742</v>
      </c>
    </row>
    <row r="468" customFormat="false" ht="15" hidden="false" customHeight="false" outlineLevel="0" collapsed="false">
      <c r="A468" s="18" t="s">
        <v>5156</v>
      </c>
      <c r="B468" s="18" t="s">
        <v>5157</v>
      </c>
      <c r="C468" s="18" t="s">
        <v>5158</v>
      </c>
      <c r="D468" s="16" t="n">
        <v>-5</v>
      </c>
      <c r="E468" s="18" t="s">
        <v>3255</v>
      </c>
      <c r="F468" s="18" t="s">
        <v>5159</v>
      </c>
      <c r="G468" s="18" t="s">
        <v>5160</v>
      </c>
      <c r="H468" s="16" t="n">
        <v>7339</v>
      </c>
    </row>
    <row r="469" customFormat="false" ht="15" hidden="false" customHeight="false" outlineLevel="0" collapsed="false">
      <c r="A469" s="18" t="s">
        <v>5161</v>
      </c>
      <c r="B469" s="18" t="s">
        <v>5162</v>
      </c>
      <c r="C469" s="18" t="s">
        <v>5163</v>
      </c>
      <c r="D469" s="16" t="n">
        <v>-2</v>
      </c>
      <c r="E469" s="18" t="s">
        <v>3255</v>
      </c>
      <c r="F469" s="18" t="s">
        <v>5164</v>
      </c>
      <c r="G469" s="18" t="s">
        <v>5165</v>
      </c>
    </row>
    <row r="470" customFormat="false" ht="15" hidden="false" customHeight="false" outlineLevel="0" collapsed="false">
      <c r="A470" s="18" t="s">
        <v>5166</v>
      </c>
      <c r="B470" s="18" t="s">
        <v>5167</v>
      </c>
      <c r="C470" s="18" t="s">
        <v>5168</v>
      </c>
      <c r="D470" s="16" t="n">
        <v>-2</v>
      </c>
      <c r="E470" s="18" t="s">
        <v>3255</v>
      </c>
      <c r="F470" s="18" t="s">
        <v>5169</v>
      </c>
      <c r="G470" s="18" t="s">
        <v>5170</v>
      </c>
      <c r="H470" s="16" t="n">
        <v>68841</v>
      </c>
    </row>
    <row r="471" customFormat="false" ht="15" hidden="false" customHeight="false" outlineLevel="0" collapsed="false">
      <c r="A471" s="18" t="s">
        <v>5171</v>
      </c>
      <c r="B471" s="18" t="s">
        <v>5172</v>
      </c>
      <c r="C471" s="18" t="s">
        <v>5173</v>
      </c>
      <c r="D471" s="16" t="n">
        <v>-1</v>
      </c>
      <c r="E471" s="18" t="s">
        <v>3255</v>
      </c>
    </row>
    <row r="472" customFormat="false" ht="15" hidden="false" customHeight="false" outlineLevel="0" collapsed="false">
      <c r="A472" s="18" t="s">
        <v>5174</v>
      </c>
      <c r="B472" s="18" t="s">
        <v>5175</v>
      </c>
      <c r="C472" s="18" t="s">
        <v>5176</v>
      </c>
      <c r="D472" s="16" t="n">
        <v>-1</v>
      </c>
      <c r="E472" s="18" t="s">
        <v>3255</v>
      </c>
    </row>
    <row r="473" customFormat="false" ht="15" hidden="false" customHeight="false" outlineLevel="0" collapsed="false">
      <c r="A473" s="18" t="s">
        <v>5177</v>
      </c>
      <c r="B473" s="18" t="s">
        <v>5178</v>
      </c>
      <c r="D473" s="16" t="n">
        <v>0</v>
      </c>
      <c r="E473" s="18" t="s">
        <v>3255</v>
      </c>
    </row>
    <row r="474" customFormat="false" ht="15" hidden="false" customHeight="false" outlineLevel="0" collapsed="false">
      <c r="A474" s="18" t="s">
        <v>5179</v>
      </c>
      <c r="B474" s="18" t="s">
        <v>5180</v>
      </c>
      <c r="C474" s="18" t="s">
        <v>5181</v>
      </c>
      <c r="D474" s="16" t="n">
        <v>2</v>
      </c>
      <c r="E474" s="18" t="s">
        <v>3255</v>
      </c>
      <c r="F474" s="18" t="s">
        <v>5182</v>
      </c>
      <c r="G474" s="18" t="s">
        <v>5183</v>
      </c>
      <c r="H474" s="16" t="n">
        <v>1045</v>
      </c>
    </row>
    <row r="475" customFormat="false" ht="15" hidden="false" customHeight="false" outlineLevel="0" collapsed="false">
      <c r="A475" s="18" t="s">
        <v>5184</v>
      </c>
      <c r="B475" s="18" t="s">
        <v>5185</v>
      </c>
      <c r="C475" s="18" t="s">
        <v>5186</v>
      </c>
      <c r="D475" s="16" t="n">
        <v>-1</v>
      </c>
      <c r="E475" s="18" t="s">
        <v>3255</v>
      </c>
      <c r="F475" s="18" t="s">
        <v>5187</v>
      </c>
      <c r="G475" s="18" t="s">
        <v>5188</v>
      </c>
      <c r="H475" s="16" t="n">
        <v>1053</v>
      </c>
    </row>
    <row r="476" customFormat="false" ht="15" hidden="false" customHeight="false" outlineLevel="0" collapsed="false">
      <c r="A476" s="18" t="s">
        <v>5189</v>
      </c>
      <c r="B476" s="18" t="s">
        <v>5190</v>
      </c>
      <c r="C476" s="18" t="s">
        <v>5191</v>
      </c>
      <c r="D476" s="16" t="n">
        <v>1</v>
      </c>
      <c r="E476" s="18" t="s">
        <v>3255</v>
      </c>
      <c r="F476" s="18" t="s">
        <v>5192</v>
      </c>
      <c r="G476" s="18" t="s">
        <v>5193</v>
      </c>
      <c r="H476" s="16" t="n">
        <v>1052</v>
      </c>
    </row>
    <row r="477" customFormat="false" ht="15" hidden="false" customHeight="false" outlineLevel="0" collapsed="false">
      <c r="A477" s="18" t="s">
        <v>5194</v>
      </c>
      <c r="B477" s="18" t="s">
        <v>5195</v>
      </c>
      <c r="C477" s="18" t="s">
        <v>5196</v>
      </c>
      <c r="D477" s="16" t="n">
        <v>-2</v>
      </c>
      <c r="E477" s="18" t="s">
        <v>3255</v>
      </c>
      <c r="F477" s="18" t="s">
        <v>5197</v>
      </c>
      <c r="G477" s="18" t="s">
        <v>5198</v>
      </c>
      <c r="H477" s="16" t="n">
        <v>1051</v>
      </c>
    </row>
    <row r="478" customFormat="false" ht="15" hidden="false" customHeight="false" outlineLevel="0" collapsed="false">
      <c r="A478" s="18" t="s">
        <v>5199</v>
      </c>
      <c r="B478" s="18" t="s">
        <v>5200</v>
      </c>
      <c r="C478" s="18" t="s">
        <v>5201</v>
      </c>
      <c r="D478" s="16" t="n">
        <v>0</v>
      </c>
      <c r="E478" s="18" t="s">
        <v>3255</v>
      </c>
      <c r="F478" s="18" t="s">
        <v>5202</v>
      </c>
      <c r="G478" s="18" t="s">
        <v>5203</v>
      </c>
      <c r="H478" s="16" t="n">
        <v>1050</v>
      </c>
    </row>
    <row r="479" customFormat="false" ht="15" hidden="false" customHeight="false" outlineLevel="0" collapsed="false">
      <c r="A479" s="18" t="s">
        <v>5204</v>
      </c>
      <c r="B479" s="18" t="s">
        <v>5205</v>
      </c>
      <c r="C479" s="18" t="s">
        <v>5206</v>
      </c>
      <c r="D479" s="16" t="n">
        <v>0</v>
      </c>
      <c r="E479" s="18" t="s">
        <v>3255</v>
      </c>
      <c r="F479" s="18" t="s">
        <v>5207</v>
      </c>
      <c r="G479" s="18" t="s">
        <v>5208</v>
      </c>
      <c r="H479" s="16" t="n">
        <v>1054</v>
      </c>
    </row>
    <row r="480" customFormat="false" ht="15" hidden="false" customHeight="false" outlineLevel="0" collapsed="false">
      <c r="A480" s="18" t="s">
        <v>5209</v>
      </c>
      <c r="B480" s="18" t="s">
        <v>5210</v>
      </c>
      <c r="C480" s="18" t="s">
        <v>5211</v>
      </c>
      <c r="D480" s="16" t="n">
        <v>-1</v>
      </c>
      <c r="E480" s="18" t="s">
        <v>3255</v>
      </c>
      <c r="F480" s="18" t="s">
        <v>5212</v>
      </c>
      <c r="G480" s="18" t="s">
        <v>5213</v>
      </c>
      <c r="H480" s="16" t="n">
        <v>1060</v>
      </c>
    </row>
    <row r="481" customFormat="false" ht="15" hidden="false" customHeight="false" outlineLevel="0" collapsed="false">
      <c r="A481" s="18" t="s">
        <v>5214</v>
      </c>
      <c r="B481" s="18" t="s">
        <v>5215</v>
      </c>
      <c r="C481" s="18" t="s">
        <v>5216</v>
      </c>
      <c r="D481" s="16" t="n">
        <v>0</v>
      </c>
      <c r="E481" s="18" t="s">
        <v>3255</v>
      </c>
      <c r="F481" s="18" t="s">
        <v>5217</v>
      </c>
      <c r="G481" s="18" t="s">
        <v>5218</v>
      </c>
      <c r="H481" s="16" t="n">
        <v>5280346</v>
      </c>
    </row>
    <row r="482" customFormat="false" ht="15" hidden="false" customHeight="false" outlineLevel="0" collapsed="false">
      <c r="A482" s="18" t="s">
        <v>5219</v>
      </c>
      <c r="B482" s="18" t="s">
        <v>5220</v>
      </c>
      <c r="C482" s="18" t="s">
        <v>5221</v>
      </c>
      <c r="D482" s="16" t="n">
        <v>0</v>
      </c>
      <c r="E482" s="18" t="s">
        <v>3255</v>
      </c>
      <c r="F482" s="18" t="s">
        <v>5222</v>
      </c>
      <c r="G482" s="18" t="s">
        <v>5223</v>
      </c>
      <c r="H482" s="16" t="n">
        <v>5280344</v>
      </c>
    </row>
    <row r="483" customFormat="false" ht="15" hidden="false" customHeight="false" outlineLevel="0" collapsed="false">
      <c r="A483" s="18" t="s">
        <v>5224</v>
      </c>
      <c r="B483" s="18" t="s">
        <v>5225</v>
      </c>
      <c r="C483" s="18" t="s">
        <v>5226</v>
      </c>
      <c r="D483" s="16" t="n">
        <v>-2</v>
      </c>
      <c r="E483" s="18" t="s">
        <v>3255</v>
      </c>
      <c r="F483" s="18" t="s">
        <v>5227</v>
      </c>
      <c r="G483" s="18" t="s">
        <v>5228</v>
      </c>
      <c r="H483" s="16" t="n">
        <v>1066</v>
      </c>
    </row>
    <row r="484" customFormat="false" ht="15" hidden="false" customHeight="false" outlineLevel="0" collapsed="false">
      <c r="A484" s="18" t="s">
        <v>5229</v>
      </c>
      <c r="B484" s="18" t="s">
        <v>5230</v>
      </c>
      <c r="C484" s="18" t="s">
        <v>3907</v>
      </c>
      <c r="D484" s="16" t="n">
        <v>-2</v>
      </c>
      <c r="E484" s="18" t="s">
        <v>3255</v>
      </c>
      <c r="F484" s="18" t="s">
        <v>5231</v>
      </c>
      <c r="G484" s="18" t="s">
        <v>5232</v>
      </c>
      <c r="H484" s="16" t="n">
        <v>439236</v>
      </c>
    </row>
    <row r="485" customFormat="false" ht="15" hidden="false" customHeight="false" outlineLevel="0" collapsed="false">
      <c r="A485" s="18" t="s">
        <v>5233</v>
      </c>
      <c r="B485" s="18" t="s">
        <v>5234</v>
      </c>
      <c r="C485" s="18" t="s">
        <v>3907</v>
      </c>
      <c r="D485" s="16" t="n">
        <v>-2</v>
      </c>
      <c r="E485" s="18" t="s">
        <v>3255</v>
      </c>
      <c r="F485" s="18" t="s">
        <v>5235</v>
      </c>
      <c r="G485" s="18" t="s">
        <v>5236</v>
      </c>
      <c r="H485" s="16" t="n">
        <v>439167</v>
      </c>
    </row>
    <row r="486" customFormat="false" ht="15" hidden="false" customHeight="false" outlineLevel="0" collapsed="false">
      <c r="A486" s="18" t="s">
        <v>5237</v>
      </c>
      <c r="B486" s="18" t="s">
        <v>5238</v>
      </c>
      <c r="C486" s="18" t="s">
        <v>5239</v>
      </c>
      <c r="D486" s="16" t="n">
        <v>-4</v>
      </c>
      <c r="E486" s="18" t="s">
        <v>3255</v>
      </c>
      <c r="F486" s="18" t="s">
        <v>5240</v>
      </c>
      <c r="G486" s="18" t="s">
        <v>5241</v>
      </c>
      <c r="H486" s="16" t="n">
        <v>1192</v>
      </c>
    </row>
    <row r="487" customFormat="false" ht="15" hidden="false" customHeight="false" outlineLevel="0" collapsed="false">
      <c r="A487" s="18" t="s">
        <v>5242</v>
      </c>
      <c r="B487" s="18" t="s">
        <v>5243</v>
      </c>
      <c r="C487" s="18" t="s">
        <v>5244</v>
      </c>
      <c r="D487" s="16" t="n">
        <v>0</v>
      </c>
      <c r="E487" s="18" t="s">
        <v>3255</v>
      </c>
      <c r="F487" s="18" t="s">
        <v>5245</v>
      </c>
      <c r="G487" s="18" t="s">
        <v>5246</v>
      </c>
      <c r="H487" s="16" t="n">
        <v>440041</v>
      </c>
    </row>
    <row r="488" customFormat="false" ht="15" hidden="false" customHeight="false" outlineLevel="0" collapsed="false">
      <c r="A488" s="18" t="s">
        <v>5247</v>
      </c>
      <c r="B488" s="18" t="s">
        <v>5248</v>
      </c>
      <c r="C488" s="18" t="s">
        <v>5249</v>
      </c>
      <c r="D488" s="16" t="n">
        <v>0</v>
      </c>
      <c r="E488" s="18" t="s">
        <v>3255</v>
      </c>
      <c r="F488" s="18" t="s">
        <v>5250</v>
      </c>
      <c r="G488" s="18" t="s">
        <v>5251</v>
      </c>
      <c r="H488" s="16" t="n">
        <v>6759</v>
      </c>
    </row>
    <row r="489" customFormat="false" ht="15" hidden="false" customHeight="false" outlineLevel="0" collapsed="false">
      <c r="A489" s="18" t="s">
        <v>5252</v>
      </c>
      <c r="B489" s="18" t="s">
        <v>5253</v>
      </c>
      <c r="C489" s="18" t="s">
        <v>3907</v>
      </c>
      <c r="D489" s="16" t="n">
        <v>-2</v>
      </c>
      <c r="E489" s="18" t="s">
        <v>3255</v>
      </c>
      <c r="F489" s="18" t="s">
        <v>5254</v>
      </c>
      <c r="G489" s="18" t="s">
        <v>5255</v>
      </c>
      <c r="H489" s="16" t="n">
        <v>439184</v>
      </c>
    </row>
    <row r="490" customFormat="false" ht="15" hidden="false" customHeight="false" outlineLevel="0" collapsed="false">
      <c r="A490" s="18" t="s">
        <v>5256</v>
      </c>
      <c r="B490" s="18" t="s">
        <v>5257</v>
      </c>
      <c r="D490" s="16" t="n">
        <v>0</v>
      </c>
      <c r="E490" s="18" t="s">
        <v>3594</v>
      </c>
    </row>
    <row r="491" customFormat="false" ht="15" hidden="false" customHeight="false" outlineLevel="0" collapsed="false">
      <c r="A491" s="18" t="s">
        <v>5258</v>
      </c>
      <c r="B491" s="18" t="s">
        <v>5259</v>
      </c>
      <c r="D491" s="16" t="n">
        <v>0</v>
      </c>
      <c r="E491" s="18" t="s">
        <v>3594</v>
      </c>
    </row>
    <row r="492" customFormat="false" ht="15" hidden="false" customHeight="false" outlineLevel="0" collapsed="false">
      <c r="A492" s="18" t="s">
        <v>5260</v>
      </c>
      <c r="B492" s="18" t="s">
        <v>5261</v>
      </c>
      <c r="C492" s="18" t="s">
        <v>4577</v>
      </c>
      <c r="D492" s="16" t="n">
        <v>-4</v>
      </c>
      <c r="E492" s="18" t="s">
        <v>3255</v>
      </c>
      <c r="F492" s="18" t="s">
        <v>5262</v>
      </c>
      <c r="G492" s="18" t="s">
        <v>5263</v>
      </c>
      <c r="H492" s="16" t="n">
        <v>1193</v>
      </c>
    </row>
    <row r="493" customFormat="false" ht="15" hidden="false" customHeight="false" outlineLevel="0" collapsed="false">
      <c r="A493" s="18" t="s">
        <v>5264</v>
      </c>
      <c r="B493" s="18" t="s">
        <v>5265</v>
      </c>
      <c r="C493" s="18" t="s">
        <v>4582</v>
      </c>
      <c r="D493" s="16" t="n">
        <v>-2</v>
      </c>
      <c r="E493" s="18" t="s">
        <v>3255</v>
      </c>
      <c r="F493" s="18" t="s">
        <v>5266</v>
      </c>
      <c r="G493" s="18" t="s">
        <v>5267</v>
      </c>
      <c r="H493" s="16" t="n">
        <v>616</v>
      </c>
    </row>
    <row r="494" customFormat="false" ht="15" hidden="false" customHeight="false" outlineLevel="0" collapsed="false">
      <c r="A494" s="18" t="s">
        <v>5268</v>
      </c>
      <c r="B494" s="18" t="s">
        <v>5269</v>
      </c>
      <c r="C494" s="18" t="s">
        <v>5270</v>
      </c>
      <c r="D494" s="16" t="n">
        <v>0</v>
      </c>
      <c r="E494" s="18" t="s">
        <v>3592</v>
      </c>
      <c r="G494" s="18" t="s">
        <v>5271</v>
      </c>
      <c r="H494" s="16" t="n">
        <v>402</v>
      </c>
    </row>
    <row r="495" customFormat="false" ht="15" hidden="false" customHeight="false" outlineLevel="0" collapsed="false">
      <c r="A495" s="18" t="s">
        <v>5272</v>
      </c>
      <c r="B495" s="18" t="s">
        <v>5269</v>
      </c>
      <c r="C495" s="18" t="s">
        <v>5270</v>
      </c>
      <c r="D495" s="16" t="n">
        <v>0</v>
      </c>
      <c r="E495" s="18" t="s">
        <v>3594</v>
      </c>
      <c r="G495" s="18" t="s">
        <v>5271</v>
      </c>
      <c r="H495" s="16" t="n">
        <v>402</v>
      </c>
    </row>
    <row r="496" customFormat="false" ht="15" hidden="false" customHeight="false" outlineLevel="0" collapsed="false">
      <c r="A496" s="18" t="s">
        <v>5273</v>
      </c>
      <c r="B496" s="18" t="s">
        <v>5274</v>
      </c>
      <c r="C496" s="18" t="s">
        <v>5275</v>
      </c>
      <c r="D496" s="16" t="n">
        <v>-7</v>
      </c>
      <c r="E496" s="18" t="s">
        <v>3255</v>
      </c>
      <c r="F496" s="18" t="s">
        <v>5276</v>
      </c>
      <c r="G496" s="18" t="s">
        <v>5277</v>
      </c>
      <c r="H496" s="16" t="n">
        <v>196427</v>
      </c>
    </row>
    <row r="497" customFormat="false" ht="15" hidden="false" customHeight="false" outlineLevel="0" collapsed="false">
      <c r="A497" s="18" t="s">
        <v>5278</v>
      </c>
      <c r="B497" s="18" t="s">
        <v>5279</v>
      </c>
      <c r="C497" s="18" t="s">
        <v>5280</v>
      </c>
      <c r="D497" s="16" t="n">
        <v>0</v>
      </c>
      <c r="E497" s="18" t="s">
        <v>3255</v>
      </c>
      <c r="F497" s="18" t="s">
        <v>5281</v>
      </c>
      <c r="G497" s="18" t="s">
        <v>5282</v>
      </c>
      <c r="H497" s="16" t="n">
        <v>5951</v>
      </c>
    </row>
    <row r="498" customFormat="false" ht="15" hidden="false" customHeight="false" outlineLevel="0" collapsed="false">
      <c r="A498" s="18" t="s">
        <v>5283</v>
      </c>
      <c r="B498" s="18" t="s">
        <v>5284</v>
      </c>
      <c r="C498" s="18" t="s">
        <v>5285</v>
      </c>
      <c r="D498" s="16" t="n">
        <v>-8</v>
      </c>
      <c r="E498" s="18" t="s">
        <v>3255</v>
      </c>
      <c r="F498" s="18" t="s">
        <v>5286</v>
      </c>
      <c r="G498" s="18" t="s">
        <v>5287</v>
      </c>
      <c r="H498" s="16" t="n">
        <v>439303</v>
      </c>
    </row>
    <row r="499" customFormat="false" ht="15" hidden="false" customHeight="false" outlineLevel="0" collapsed="false">
      <c r="A499" s="18" t="s">
        <v>5288</v>
      </c>
      <c r="B499" s="18" t="s">
        <v>5289</v>
      </c>
      <c r="C499" s="18" t="s">
        <v>5290</v>
      </c>
      <c r="D499" s="16" t="n">
        <v>-3</v>
      </c>
      <c r="E499" s="18" t="s">
        <v>3255</v>
      </c>
      <c r="F499" s="18" t="s">
        <v>5291</v>
      </c>
      <c r="G499" s="18" t="s">
        <v>5292</v>
      </c>
      <c r="H499" s="16" t="n">
        <v>121947</v>
      </c>
    </row>
    <row r="500" customFormat="false" ht="15" hidden="false" customHeight="false" outlineLevel="0" collapsed="false">
      <c r="A500" s="18" t="s">
        <v>5293</v>
      </c>
      <c r="B500" s="18" t="s">
        <v>5294</v>
      </c>
      <c r="C500" s="18" t="s">
        <v>5295</v>
      </c>
      <c r="D500" s="16" t="n">
        <v>-1</v>
      </c>
      <c r="E500" s="18" t="s">
        <v>3255</v>
      </c>
      <c r="F500" s="18" t="s">
        <v>5296</v>
      </c>
      <c r="G500" s="18" t="s">
        <v>5297</v>
      </c>
      <c r="H500" s="16" t="n">
        <v>8742</v>
      </c>
    </row>
    <row r="501" customFormat="false" ht="15" hidden="false" customHeight="false" outlineLevel="0" collapsed="false">
      <c r="A501" s="18" t="s">
        <v>5298</v>
      </c>
      <c r="B501" s="18" t="s">
        <v>5299</v>
      </c>
      <c r="C501" s="18" t="s">
        <v>5300</v>
      </c>
      <c r="D501" s="16" t="n">
        <v>-2</v>
      </c>
      <c r="E501" s="18" t="s">
        <v>3255</v>
      </c>
      <c r="F501" s="18" t="s">
        <v>5301</v>
      </c>
      <c r="G501" s="18" t="s">
        <v>5302</v>
      </c>
      <c r="H501" s="16" t="n">
        <v>440333</v>
      </c>
    </row>
    <row r="502" customFormat="false" ht="15" hidden="false" customHeight="false" outlineLevel="0" collapsed="false">
      <c r="A502" s="18" t="s">
        <v>5303</v>
      </c>
      <c r="B502" s="18" t="s">
        <v>5304</v>
      </c>
      <c r="C502" s="18" t="s">
        <v>5305</v>
      </c>
      <c r="D502" s="16" t="n">
        <v>-3</v>
      </c>
      <c r="E502" s="18" t="s">
        <v>3255</v>
      </c>
      <c r="F502" s="18" t="s">
        <v>5306</v>
      </c>
      <c r="G502" s="18" t="s">
        <v>5307</v>
      </c>
      <c r="H502" s="16" t="n">
        <v>440349</v>
      </c>
    </row>
    <row r="503" customFormat="false" ht="15" hidden="false" customHeight="false" outlineLevel="0" collapsed="false">
      <c r="A503" s="18" t="s">
        <v>5308</v>
      </c>
      <c r="B503" s="18" t="s">
        <v>5309</v>
      </c>
      <c r="C503" s="18" t="s">
        <v>5310</v>
      </c>
      <c r="D503" s="16" t="n">
        <v>-2</v>
      </c>
      <c r="E503" s="18" t="s">
        <v>3255</v>
      </c>
      <c r="F503" s="18" t="s">
        <v>5311</v>
      </c>
      <c r="G503" s="18" t="s">
        <v>5312</v>
      </c>
      <c r="H503" s="16" t="n">
        <v>1100</v>
      </c>
    </row>
    <row r="504" customFormat="false" ht="15" hidden="false" customHeight="false" outlineLevel="0" collapsed="false">
      <c r="A504" s="18" t="s">
        <v>5313</v>
      </c>
      <c r="B504" s="18" t="s">
        <v>5309</v>
      </c>
      <c r="C504" s="18" t="s">
        <v>5310</v>
      </c>
      <c r="D504" s="16" t="n">
        <v>-2</v>
      </c>
      <c r="E504" s="18" t="s">
        <v>3594</v>
      </c>
      <c r="F504" s="18" t="s">
        <v>5311</v>
      </c>
      <c r="G504" s="18" t="s">
        <v>5312</v>
      </c>
      <c r="H504" s="16" t="n">
        <v>1100</v>
      </c>
    </row>
    <row r="505" customFormat="false" ht="15" hidden="false" customHeight="false" outlineLevel="0" collapsed="false">
      <c r="A505" s="18" t="s">
        <v>5314</v>
      </c>
      <c r="B505" s="18" t="s">
        <v>5315</v>
      </c>
      <c r="C505" s="18" t="s">
        <v>5316</v>
      </c>
      <c r="D505" s="16" t="n">
        <v>-2</v>
      </c>
      <c r="E505" s="18" t="s">
        <v>3255</v>
      </c>
      <c r="F505" s="18" t="s">
        <v>5317</v>
      </c>
      <c r="G505" s="18" t="s">
        <v>5318</v>
      </c>
      <c r="H505" s="16" t="n">
        <v>1118</v>
      </c>
    </row>
    <row r="506" customFormat="false" ht="15" hidden="false" customHeight="false" outlineLevel="0" collapsed="false">
      <c r="A506" s="18" t="s">
        <v>5319</v>
      </c>
      <c r="B506" s="18" t="s">
        <v>5315</v>
      </c>
      <c r="C506" s="18" t="s">
        <v>5316</v>
      </c>
      <c r="D506" s="16" t="n">
        <v>-2</v>
      </c>
      <c r="E506" s="18" t="s">
        <v>3592</v>
      </c>
      <c r="F506" s="18" t="s">
        <v>5317</v>
      </c>
      <c r="G506" s="18" t="s">
        <v>5318</v>
      </c>
      <c r="H506" s="16" t="n">
        <v>1118</v>
      </c>
    </row>
    <row r="507" customFormat="false" ht="15" hidden="false" customHeight="false" outlineLevel="0" collapsed="false">
      <c r="A507" s="18" t="s">
        <v>5320</v>
      </c>
      <c r="B507" s="18" t="s">
        <v>5315</v>
      </c>
      <c r="C507" s="18" t="s">
        <v>5316</v>
      </c>
      <c r="D507" s="16" t="n">
        <v>-2</v>
      </c>
      <c r="E507" s="18" t="s">
        <v>3594</v>
      </c>
      <c r="F507" s="18" t="s">
        <v>5317</v>
      </c>
      <c r="G507" s="18" t="s">
        <v>5318</v>
      </c>
      <c r="H507" s="16" t="n">
        <v>1118</v>
      </c>
    </row>
    <row r="508" customFormat="false" ht="15" hidden="false" customHeight="false" outlineLevel="0" collapsed="false">
      <c r="A508" s="18" t="s">
        <v>5321</v>
      </c>
      <c r="B508" s="18" t="s">
        <v>5321</v>
      </c>
      <c r="D508" s="16" t="n">
        <v>0</v>
      </c>
      <c r="E508" s="18" t="s">
        <v>3592</v>
      </c>
    </row>
    <row r="509" customFormat="false" ht="15" hidden="false" customHeight="false" outlineLevel="0" collapsed="false">
      <c r="A509" s="18" t="s">
        <v>5322</v>
      </c>
      <c r="B509" s="18" t="s">
        <v>5323</v>
      </c>
      <c r="C509" s="18" t="s">
        <v>5316</v>
      </c>
      <c r="D509" s="16" t="n">
        <v>-2</v>
      </c>
      <c r="E509" s="18" t="s">
        <v>3594</v>
      </c>
      <c r="F509" s="18" t="s">
        <v>5317</v>
      </c>
      <c r="G509" s="18" t="s">
        <v>5318</v>
      </c>
      <c r="H509" s="16" t="n">
        <v>1118</v>
      </c>
    </row>
    <row r="510" customFormat="false" ht="15" hidden="false" customHeight="false" outlineLevel="0" collapsed="false">
      <c r="A510" s="18" t="s">
        <v>5324</v>
      </c>
      <c r="B510" s="18" t="s">
        <v>5325</v>
      </c>
      <c r="C510" s="18" t="s">
        <v>5326</v>
      </c>
      <c r="D510" s="16" t="n">
        <v>3</v>
      </c>
      <c r="E510" s="18" t="s">
        <v>3255</v>
      </c>
      <c r="F510" s="18" t="s">
        <v>5327</v>
      </c>
      <c r="G510" s="18" t="s">
        <v>5328</v>
      </c>
      <c r="H510" s="16" t="n">
        <v>1102</v>
      </c>
    </row>
    <row r="511" customFormat="false" ht="15" hidden="false" customHeight="false" outlineLevel="0" collapsed="false">
      <c r="A511" s="18" t="s">
        <v>5329</v>
      </c>
      <c r="B511" s="18" t="s">
        <v>5330</v>
      </c>
      <c r="C511" s="18" t="s">
        <v>5331</v>
      </c>
      <c r="D511" s="16" t="n">
        <v>-2</v>
      </c>
      <c r="E511" s="18" t="s">
        <v>3255</v>
      </c>
      <c r="F511" s="18" t="s">
        <v>5332</v>
      </c>
      <c r="G511" s="18" t="s">
        <v>5333</v>
      </c>
      <c r="H511" s="16" t="n">
        <v>1110</v>
      </c>
    </row>
    <row r="512" customFormat="false" ht="15" hidden="false" customHeight="false" outlineLevel="0" collapsed="false">
      <c r="A512" s="18" t="s">
        <v>5334</v>
      </c>
      <c r="B512" s="18" t="s">
        <v>5335</v>
      </c>
      <c r="C512" s="18" t="s">
        <v>4857</v>
      </c>
      <c r="D512" s="16" t="n">
        <v>-5</v>
      </c>
      <c r="E512" s="18" t="s">
        <v>3255</v>
      </c>
      <c r="F512" s="18" t="s">
        <v>5336</v>
      </c>
      <c r="G512" s="18" t="s">
        <v>5337</v>
      </c>
      <c r="H512" s="16" t="n">
        <v>439161</v>
      </c>
    </row>
    <row r="513" customFormat="false" ht="15" hidden="false" customHeight="false" outlineLevel="0" collapsed="false">
      <c r="A513" s="18" t="s">
        <v>5338</v>
      </c>
      <c r="B513" s="18" t="s">
        <v>5339</v>
      </c>
      <c r="D513" s="16" t="n">
        <v>0</v>
      </c>
      <c r="E513" s="18" t="s">
        <v>3255</v>
      </c>
    </row>
    <row r="514" customFormat="false" ht="15" hidden="false" customHeight="false" outlineLevel="0" collapsed="false">
      <c r="A514" s="18" t="s">
        <v>5340</v>
      </c>
      <c r="B514" s="18" t="s">
        <v>5341</v>
      </c>
      <c r="C514" s="18" t="s">
        <v>3438</v>
      </c>
      <c r="D514" s="16" t="n">
        <v>-1</v>
      </c>
      <c r="E514" s="18" t="s">
        <v>3255</v>
      </c>
      <c r="G514" s="18" t="s">
        <v>5342</v>
      </c>
    </row>
    <row r="515" customFormat="false" ht="15" hidden="false" customHeight="false" outlineLevel="0" collapsed="false">
      <c r="A515" s="18" t="s">
        <v>5343</v>
      </c>
      <c r="B515" s="18" t="s">
        <v>5344</v>
      </c>
      <c r="C515" s="18" t="s">
        <v>4191</v>
      </c>
      <c r="D515" s="16" t="n">
        <v>-1</v>
      </c>
      <c r="E515" s="18" t="s">
        <v>3255</v>
      </c>
      <c r="G515" s="18" t="s">
        <v>5345</v>
      </c>
    </row>
    <row r="516" customFormat="false" ht="15" hidden="false" customHeight="false" outlineLevel="0" collapsed="false">
      <c r="A516" s="18" t="s">
        <v>5346</v>
      </c>
      <c r="B516" s="18" t="s">
        <v>5347</v>
      </c>
      <c r="C516" s="18" t="s">
        <v>5348</v>
      </c>
      <c r="D516" s="16" t="n">
        <v>-2</v>
      </c>
      <c r="E516" s="18" t="s">
        <v>3255</v>
      </c>
      <c r="F516" s="18" t="s">
        <v>5349</v>
      </c>
      <c r="G516" s="18" t="s">
        <v>5350</v>
      </c>
      <c r="H516" s="16" t="n">
        <v>440179</v>
      </c>
    </row>
    <row r="517" customFormat="false" ht="15" hidden="false" customHeight="false" outlineLevel="0" collapsed="false">
      <c r="A517" s="18" t="s">
        <v>5351</v>
      </c>
      <c r="B517" s="18" t="s">
        <v>5352</v>
      </c>
      <c r="C517" s="18" t="s">
        <v>5353</v>
      </c>
      <c r="D517" s="16" t="n">
        <v>0</v>
      </c>
      <c r="E517" s="18" t="s">
        <v>3255</v>
      </c>
    </row>
    <row r="518" customFormat="false" ht="15" hidden="false" customHeight="false" outlineLevel="0" collapsed="false">
      <c r="A518" s="18" t="s">
        <v>5354</v>
      </c>
      <c r="B518" s="18" t="s">
        <v>5355</v>
      </c>
      <c r="C518" s="18" t="s">
        <v>5356</v>
      </c>
      <c r="D518" s="16" t="n">
        <v>-1</v>
      </c>
      <c r="E518" s="18" t="s">
        <v>3255</v>
      </c>
      <c r="G518" s="18" t="s">
        <v>5357</v>
      </c>
    </row>
    <row r="519" customFormat="false" ht="15" hidden="false" customHeight="false" outlineLevel="0" collapsed="false">
      <c r="A519" s="18" t="s">
        <v>5358</v>
      </c>
      <c r="B519" s="18" t="s">
        <v>5359</v>
      </c>
      <c r="C519" s="18" t="s">
        <v>5360</v>
      </c>
      <c r="D519" s="16" t="n">
        <v>-2</v>
      </c>
      <c r="E519" s="18" t="s">
        <v>3255</v>
      </c>
      <c r="F519" s="18" t="s">
        <v>5361</v>
      </c>
      <c r="G519" s="18" t="s">
        <v>5362</v>
      </c>
      <c r="H519" s="16" t="n">
        <v>1129</v>
      </c>
    </row>
    <row r="520" customFormat="false" ht="15" hidden="false" customHeight="false" outlineLevel="0" collapsed="false">
      <c r="A520" s="18" t="s">
        <v>5363</v>
      </c>
      <c r="B520" s="18" t="s">
        <v>5364</v>
      </c>
      <c r="C520" s="18" t="s">
        <v>5365</v>
      </c>
      <c r="D520" s="16" t="n">
        <v>0</v>
      </c>
      <c r="E520" s="18" t="s">
        <v>3255</v>
      </c>
      <c r="F520" s="18" t="s">
        <v>5366</v>
      </c>
      <c r="G520" s="18" t="s">
        <v>5367</v>
      </c>
      <c r="H520" s="16" t="n">
        <v>440239</v>
      </c>
    </row>
    <row r="521" customFormat="false" ht="15" hidden="false" customHeight="false" outlineLevel="0" collapsed="false">
      <c r="A521" s="18" t="s">
        <v>5368</v>
      </c>
      <c r="B521" s="18" t="s">
        <v>5369</v>
      </c>
      <c r="C521" s="18" t="s">
        <v>5370</v>
      </c>
      <c r="D521" s="16" t="n">
        <v>1</v>
      </c>
      <c r="E521" s="18" t="s">
        <v>3255</v>
      </c>
      <c r="F521" s="18" t="s">
        <v>5371</v>
      </c>
      <c r="G521" s="18" t="s">
        <v>5372</v>
      </c>
      <c r="H521" s="16" t="n">
        <v>1130</v>
      </c>
    </row>
    <row r="522" customFormat="false" ht="15" hidden="false" customHeight="false" outlineLevel="0" collapsed="false">
      <c r="A522" s="18" t="s">
        <v>5373</v>
      </c>
      <c r="B522" s="18" t="s">
        <v>5374</v>
      </c>
      <c r="C522" s="18" t="s">
        <v>5375</v>
      </c>
      <c r="D522" s="16" t="n">
        <v>-1</v>
      </c>
      <c r="E522" s="18" t="s">
        <v>3255</v>
      </c>
      <c r="F522" s="18" t="s">
        <v>5376</v>
      </c>
      <c r="G522" s="18" t="s">
        <v>5377</v>
      </c>
      <c r="H522" s="16" t="n">
        <v>1131</v>
      </c>
    </row>
    <row r="523" customFormat="false" ht="15" hidden="false" customHeight="false" outlineLevel="0" collapsed="false">
      <c r="A523" s="18" t="s">
        <v>5378</v>
      </c>
      <c r="B523" s="18" t="s">
        <v>5379</v>
      </c>
      <c r="C523" s="18" t="s">
        <v>5380</v>
      </c>
      <c r="D523" s="16" t="n">
        <v>-2</v>
      </c>
      <c r="E523" s="18" t="s">
        <v>3255</v>
      </c>
      <c r="F523" s="18" t="s">
        <v>5381</v>
      </c>
      <c r="G523" s="18" t="s">
        <v>5382</v>
      </c>
      <c r="H523" s="16" t="n">
        <v>1132</v>
      </c>
    </row>
    <row r="524" customFormat="false" ht="15" hidden="false" customHeight="false" outlineLevel="0" collapsed="false">
      <c r="A524" s="18" t="s">
        <v>5383</v>
      </c>
      <c r="B524" s="18" t="s">
        <v>5384</v>
      </c>
      <c r="C524" s="18" t="s">
        <v>4706</v>
      </c>
      <c r="D524" s="16" t="n">
        <v>0</v>
      </c>
      <c r="E524" s="18" t="s">
        <v>3255</v>
      </c>
      <c r="F524" s="18" t="s">
        <v>5385</v>
      </c>
      <c r="G524" s="18" t="s">
        <v>5386</v>
      </c>
      <c r="H524" s="16" t="n">
        <v>6288</v>
      </c>
    </row>
    <row r="525" customFormat="false" ht="15" hidden="false" customHeight="false" outlineLevel="0" collapsed="false">
      <c r="A525" s="18" t="s">
        <v>5387</v>
      </c>
      <c r="B525" s="18" t="s">
        <v>5388</v>
      </c>
      <c r="C525" s="18" t="s">
        <v>5389</v>
      </c>
      <c r="D525" s="16" t="n">
        <v>0</v>
      </c>
      <c r="E525" s="18" t="s">
        <v>3255</v>
      </c>
      <c r="F525" s="18" t="s">
        <v>5390</v>
      </c>
      <c r="G525" s="18" t="s">
        <v>5391</v>
      </c>
      <c r="H525" s="16" t="n">
        <v>5789</v>
      </c>
    </row>
    <row r="526" customFormat="false" ht="15" hidden="false" customHeight="false" outlineLevel="0" collapsed="false">
      <c r="A526" s="18" t="s">
        <v>5392</v>
      </c>
      <c r="B526" s="18" t="s">
        <v>5393</v>
      </c>
      <c r="C526" s="18" t="s">
        <v>4087</v>
      </c>
      <c r="D526" s="16" t="n">
        <v>-1</v>
      </c>
      <c r="E526" s="18" t="s">
        <v>3255</v>
      </c>
      <c r="G526" s="18" t="s">
        <v>5394</v>
      </c>
    </row>
    <row r="527" customFormat="false" ht="15" hidden="false" customHeight="false" outlineLevel="0" collapsed="false">
      <c r="A527" s="18" t="s">
        <v>5395</v>
      </c>
      <c r="B527" s="18" t="s">
        <v>5396</v>
      </c>
      <c r="C527" s="18" t="s">
        <v>5397</v>
      </c>
      <c r="D527" s="16" t="n">
        <v>-1</v>
      </c>
      <c r="E527" s="18" t="s">
        <v>3255</v>
      </c>
      <c r="G527" s="18" t="s">
        <v>5398</v>
      </c>
    </row>
    <row r="528" customFormat="false" ht="15" hidden="false" customHeight="false" outlineLevel="0" collapsed="false">
      <c r="A528" s="18" t="s">
        <v>5399</v>
      </c>
      <c r="B528" s="18" t="s">
        <v>5400</v>
      </c>
      <c r="C528" s="18" t="s">
        <v>4015</v>
      </c>
      <c r="D528" s="16" t="n">
        <v>-1</v>
      </c>
      <c r="E528" s="18" t="s">
        <v>3255</v>
      </c>
      <c r="G528" s="18" t="s">
        <v>5401</v>
      </c>
    </row>
    <row r="529" customFormat="false" ht="15" hidden="false" customHeight="false" outlineLevel="0" collapsed="false">
      <c r="A529" s="18" t="s">
        <v>5402</v>
      </c>
      <c r="B529" s="18" t="s">
        <v>5403</v>
      </c>
      <c r="C529" s="18" t="s">
        <v>5404</v>
      </c>
      <c r="D529" s="16" t="n">
        <v>0</v>
      </c>
      <c r="E529" s="18" t="s">
        <v>3255</v>
      </c>
      <c r="G529" s="18" t="s">
        <v>5405</v>
      </c>
    </row>
    <row r="530" customFormat="false" ht="15" hidden="false" customHeight="false" outlineLevel="0" collapsed="false">
      <c r="A530" s="18" t="s">
        <v>5406</v>
      </c>
      <c r="B530" s="18" t="s">
        <v>5407</v>
      </c>
      <c r="C530" s="18" t="s">
        <v>5408</v>
      </c>
      <c r="D530" s="16" t="n">
        <v>0</v>
      </c>
      <c r="E530" s="18" t="s">
        <v>3255</v>
      </c>
      <c r="G530" s="18" t="s">
        <v>5409</v>
      </c>
    </row>
    <row r="531" customFormat="false" ht="15" hidden="false" customHeight="false" outlineLevel="0" collapsed="false">
      <c r="A531" s="18" t="s">
        <v>5410</v>
      </c>
      <c r="B531" s="18" t="s">
        <v>5411</v>
      </c>
      <c r="C531" s="18" t="s">
        <v>5412</v>
      </c>
      <c r="D531" s="16" t="n">
        <v>0</v>
      </c>
      <c r="E531" s="18" t="s">
        <v>3255</v>
      </c>
      <c r="F531" s="18" t="s">
        <v>5413</v>
      </c>
      <c r="G531" s="18" t="s">
        <v>5414</v>
      </c>
      <c r="H531" s="16" t="n">
        <v>6305</v>
      </c>
    </row>
    <row r="532" customFormat="false" ht="15" hidden="false" customHeight="false" outlineLevel="0" collapsed="false">
      <c r="A532" s="18" t="s">
        <v>5415</v>
      </c>
      <c r="B532" s="18" t="s">
        <v>5416</v>
      </c>
      <c r="C532" s="18" t="s">
        <v>5417</v>
      </c>
      <c r="D532" s="16" t="n">
        <v>-2</v>
      </c>
      <c r="E532" s="18" t="s">
        <v>3592</v>
      </c>
      <c r="F532" s="18" t="s">
        <v>5418</v>
      </c>
      <c r="G532" s="18" t="s">
        <v>5419</v>
      </c>
      <c r="H532" s="16" t="n">
        <v>24478</v>
      </c>
    </row>
    <row r="533" customFormat="false" ht="15" hidden="false" customHeight="false" outlineLevel="0" collapsed="false">
      <c r="A533" s="18" t="s">
        <v>5420</v>
      </c>
      <c r="B533" s="18" t="s">
        <v>5416</v>
      </c>
      <c r="C533" s="18" t="s">
        <v>5417</v>
      </c>
      <c r="D533" s="16" t="n">
        <v>-2</v>
      </c>
      <c r="E533" s="18" t="s">
        <v>3594</v>
      </c>
      <c r="F533" s="18" t="s">
        <v>5418</v>
      </c>
      <c r="G533" s="18" t="s">
        <v>5419</v>
      </c>
      <c r="H533" s="16" t="n">
        <v>24478</v>
      </c>
    </row>
    <row r="534" customFormat="false" ht="15" hidden="false" customHeight="false" outlineLevel="0" collapsed="false">
      <c r="A534" s="18" t="s">
        <v>5421</v>
      </c>
      <c r="B534" s="18" t="s">
        <v>5422</v>
      </c>
      <c r="C534" s="18" t="s">
        <v>5423</v>
      </c>
      <c r="D534" s="16" t="n">
        <v>-3</v>
      </c>
      <c r="E534" s="18" t="s">
        <v>3255</v>
      </c>
      <c r="F534" s="18" t="s">
        <v>5424</v>
      </c>
      <c r="G534" s="18" t="s">
        <v>5425</v>
      </c>
      <c r="H534" s="16" t="n">
        <v>5281909</v>
      </c>
    </row>
    <row r="535" customFormat="false" ht="15" hidden="false" customHeight="false" outlineLevel="0" collapsed="false">
      <c r="A535" s="18" t="s">
        <v>5426</v>
      </c>
      <c r="B535" s="18" t="s">
        <v>5427</v>
      </c>
      <c r="C535" s="18" t="s">
        <v>5428</v>
      </c>
      <c r="D535" s="16" t="n">
        <v>-2</v>
      </c>
      <c r="E535" s="18" t="s">
        <v>3592</v>
      </c>
      <c r="F535" s="18" t="s">
        <v>5429</v>
      </c>
      <c r="G535" s="18" t="s">
        <v>5430</v>
      </c>
      <c r="H535" s="16" t="n">
        <v>4657547</v>
      </c>
    </row>
    <row r="536" customFormat="false" ht="15" hidden="false" customHeight="false" outlineLevel="0" collapsed="false">
      <c r="A536" s="18" t="s">
        <v>5431</v>
      </c>
      <c r="B536" s="18" t="s">
        <v>5427</v>
      </c>
      <c r="C536" s="18" t="s">
        <v>5428</v>
      </c>
      <c r="D536" s="16" t="n">
        <v>-2</v>
      </c>
      <c r="E536" s="18" t="s">
        <v>3594</v>
      </c>
      <c r="F536" s="18" t="s">
        <v>5429</v>
      </c>
      <c r="G536" s="18" t="s">
        <v>5430</v>
      </c>
      <c r="H536" s="16" t="n">
        <v>4657547</v>
      </c>
    </row>
    <row r="537" customFormat="false" ht="15" hidden="false" customHeight="false" outlineLevel="0" collapsed="false">
      <c r="A537" s="18" t="s">
        <v>5432</v>
      </c>
      <c r="B537" s="18" t="s">
        <v>5433</v>
      </c>
      <c r="C537" s="18" t="s">
        <v>5434</v>
      </c>
      <c r="D537" s="16" t="n">
        <v>0</v>
      </c>
      <c r="E537" s="18" t="s">
        <v>3255</v>
      </c>
      <c r="F537" s="18" t="s">
        <v>5435</v>
      </c>
      <c r="G537" s="18" t="s">
        <v>5436</v>
      </c>
      <c r="H537" s="16" t="n">
        <v>6057</v>
      </c>
    </row>
    <row r="538" customFormat="false" ht="15" hidden="false" customHeight="false" outlineLevel="0" collapsed="false">
      <c r="A538" s="18" t="s">
        <v>5437</v>
      </c>
      <c r="B538" s="18" t="s">
        <v>5438</v>
      </c>
      <c r="C538" s="18" t="s">
        <v>5439</v>
      </c>
      <c r="D538" s="16" t="n">
        <v>-2</v>
      </c>
      <c r="E538" s="18" t="s">
        <v>3255</v>
      </c>
      <c r="F538" s="18" t="s">
        <v>5440</v>
      </c>
      <c r="G538" s="18" t="s">
        <v>5441</v>
      </c>
    </row>
    <row r="539" customFormat="false" ht="15" hidden="false" customHeight="false" outlineLevel="0" collapsed="false">
      <c r="A539" s="18" t="s">
        <v>5442</v>
      </c>
      <c r="B539" s="18" t="s">
        <v>5443</v>
      </c>
      <c r="C539" s="18" t="s">
        <v>5444</v>
      </c>
      <c r="D539" s="16" t="n">
        <v>-1</v>
      </c>
      <c r="E539" s="18" t="s">
        <v>3255</v>
      </c>
    </row>
    <row r="540" customFormat="false" ht="15" hidden="false" customHeight="false" outlineLevel="0" collapsed="false">
      <c r="A540" s="18" t="s">
        <v>5445</v>
      </c>
      <c r="B540" s="18" t="s">
        <v>5446</v>
      </c>
      <c r="C540" s="18" t="s">
        <v>5447</v>
      </c>
      <c r="D540" s="16" t="n">
        <v>-3</v>
      </c>
      <c r="E540" s="18" t="s">
        <v>3255</v>
      </c>
      <c r="F540" s="18" t="s">
        <v>5448</v>
      </c>
      <c r="G540" s="18" t="s">
        <v>5449</v>
      </c>
      <c r="H540" s="16" t="n">
        <v>11953841</v>
      </c>
    </row>
    <row r="541" customFormat="false" ht="15" hidden="false" customHeight="false" outlineLevel="0" collapsed="false">
      <c r="A541" s="18" t="s">
        <v>5450</v>
      </c>
      <c r="B541" s="18" t="s">
        <v>5451</v>
      </c>
      <c r="C541" s="18" t="s">
        <v>5452</v>
      </c>
      <c r="D541" s="16" t="n">
        <v>-2</v>
      </c>
      <c r="E541" s="18" t="s">
        <v>3255</v>
      </c>
      <c r="F541" s="18" t="s">
        <v>5453</v>
      </c>
      <c r="G541" s="18" t="s">
        <v>5454</v>
      </c>
      <c r="H541" s="16" t="n">
        <v>439157</v>
      </c>
    </row>
    <row r="542" customFormat="false" ht="15" hidden="false" customHeight="false" outlineLevel="0" collapsed="false">
      <c r="A542" s="18" t="s">
        <v>5455</v>
      </c>
      <c r="B542" s="18" t="s">
        <v>5456</v>
      </c>
      <c r="C542" s="18" t="s">
        <v>5457</v>
      </c>
      <c r="D542" s="16" t="n">
        <v>-2</v>
      </c>
      <c r="E542" s="18" t="s">
        <v>3255</v>
      </c>
    </row>
    <row r="543" customFormat="false" ht="15" hidden="false" customHeight="false" outlineLevel="0" collapsed="false">
      <c r="A543" s="18" t="s">
        <v>5458</v>
      </c>
      <c r="B543" s="18" t="s">
        <v>5459</v>
      </c>
      <c r="C543" s="18" t="s">
        <v>5460</v>
      </c>
      <c r="D543" s="16" t="n">
        <v>-4</v>
      </c>
      <c r="E543" s="18" t="s">
        <v>3255</v>
      </c>
      <c r="F543" s="18" t="s">
        <v>5461</v>
      </c>
      <c r="G543" s="18" t="s">
        <v>5462</v>
      </c>
    </row>
    <row r="544" customFormat="false" ht="15" hidden="false" customHeight="false" outlineLevel="0" collapsed="false">
      <c r="A544" s="18" t="s">
        <v>5463</v>
      </c>
      <c r="B544" s="18" t="s">
        <v>5464</v>
      </c>
      <c r="C544" s="18" t="s">
        <v>5465</v>
      </c>
      <c r="D544" s="16" t="n">
        <v>-3</v>
      </c>
      <c r="E544" s="18" t="s">
        <v>3255</v>
      </c>
      <c r="F544" s="18" t="s">
        <v>5466</v>
      </c>
      <c r="G544" s="18" t="s">
        <v>5467</v>
      </c>
      <c r="H544" s="16" t="n">
        <v>439438</v>
      </c>
    </row>
    <row r="545" customFormat="false" ht="15" hidden="false" customHeight="false" outlineLevel="0" collapsed="false">
      <c r="A545" s="18" t="s">
        <v>5468</v>
      </c>
      <c r="B545" s="18" t="s">
        <v>5469</v>
      </c>
      <c r="C545" s="18" t="s">
        <v>5470</v>
      </c>
      <c r="D545" s="16" t="n">
        <v>-4</v>
      </c>
      <c r="E545" s="18" t="s">
        <v>3255</v>
      </c>
      <c r="F545" s="18" t="s">
        <v>5471</v>
      </c>
      <c r="G545" s="18" t="s">
        <v>5472</v>
      </c>
      <c r="H545" s="16" t="n">
        <v>439295</v>
      </c>
    </row>
    <row r="546" customFormat="false" ht="15" hidden="false" customHeight="false" outlineLevel="0" collapsed="false">
      <c r="A546" s="18" t="s">
        <v>5473</v>
      </c>
      <c r="B546" s="18" t="s">
        <v>5474</v>
      </c>
      <c r="C546" s="18" t="s">
        <v>5475</v>
      </c>
      <c r="D546" s="16" t="n">
        <v>-3</v>
      </c>
      <c r="E546" s="18" t="s">
        <v>3255</v>
      </c>
      <c r="F546" s="18" t="s">
        <v>5476</v>
      </c>
      <c r="G546" s="18" t="s">
        <v>5477</v>
      </c>
      <c r="H546" s="16" t="n">
        <v>439380</v>
      </c>
    </row>
    <row r="547" customFormat="false" ht="15" hidden="false" customHeight="false" outlineLevel="0" collapsed="false">
      <c r="A547" s="18" t="s">
        <v>5478</v>
      </c>
      <c r="B547" s="18" t="s">
        <v>5479</v>
      </c>
      <c r="C547" s="18" t="s">
        <v>5480</v>
      </c>
      <c r="D547" s="16" t="n">
        <v>-3</v>
      </c>
      <c r="E547" s="18" t="s">
        <v>3255</v>
      </c>
      <c r="F547" s="18" t="s">
        <v>4310</v>
      </c>
      <c r="G547" s="18" t="s">
        <v>4311</v>
      </c>
      <c r="H547" s="16" t="n">
        <v>5280604</v>
      </c>
    </row>
    <row r="548" customFormat="false" ht="15" hidden="false" customHeight="false" outlineLevel="0" collapsed="false">
      <c r="A548" s="18" t="s">
        <v>5481</v>
      </c>
      <c r="B548" s="18" t="s">
        <v>5482</v>
      </c>
      <c r="C548" s="18" t="s">
        <v>5483</v>
      </c>
      <c r="D548" s="16" t="n">
        <v>-2</v>
      </c>
      <c r="E548" s="18" t="s">
        <v>3255</v>
      </c>
      <c r="F548" s="18" t="s">
        <v>5484</v>
      </c>
      <c r="G548" s="18" t="s">
        <v>5485</v>
      </c>
      <c r="H548" s="16" t="n">
        <v>5280338</v>
      </c>
    </row>
    <row r="549" customFormat="false" ht="15" hidden="false" customHeight="false" outlineLevel="0" collapsed="false">
      <c r="A549" s="18" t="s">
        <v>5486</v>
      </c>
      <c r="B549" s="18" t="s">
        <v>5487</v>
      </c>
      <c r="C549" s="18" t="s">
        <v>5488</v>
      </c>
      <c r="D549" s="16" t="n">
        <v>-3</v>
      </c>
      <c r="E549" s="18" t="s">
        <v>3255</v>
      </c>
      <c r="F549" s="18" t="s">
        <v>5489</v>
      </c>
      <c r="G549" s="18" t="s">
        <v>5490</v>
      </c>
      <c r="H549" s="16" t="n">
        <v>6031</v>
      </c>
    </row>
    <row r="550" customFormat="false" ht="15" hidden="false" customHeight="false" outlineLevel="0" collapsed="false">
      <c r="A550" s="18" t="s">
        <v>5491</v>
      </c>
      <c r="B550" s="18" t="s">
        <v>5492</v>
      </c>
      <c r="C550" s="18" t="s">
        <v>5493</v>
      </c>
      <c r="D550" s="16" t="n">
        <v>-2</v>
      </c>
      <c r="E550" s="18" t="s">
        <v>3255</v>
      </c>
      <c r="F550" s="18" t="s">
        <v>5494</v>
      </c>
      <c r="G550" s="18" t="s">
        <v>5495</v>
      </c>
      <c r="H550" s="16" t="n">
        <v>439156</v>
      </c>
    </row>
    <row r="551" customFormat="false" ht="15" hidden="false" customHeight="false" outlineLevel="0" collapsed="false">
      <c r="A551" s="18" t="s">
        <v>5496</v>
      </c>
      <c r="B551" s="18" t="s">
        <v>5497</v>
      </c>
      <c r="C551" s="18" t="s">
        <v>5498</v>
      </c>
      <c r="D551" s="16" t="n">
        <v>-3</v>
      </c>
      <c r="E551" s="18" t="s">
        <v>3255</v>
      </c>
      <c r="F551" s="18" t="s">
        <v>5499</v>
      </c>
      <c r="G551" s="18" t="s">
        <v>5500</v>
      </c>
      <c r="H551" s="16" t="n">
        <v>17473</v>
      </c>
    </row>
    <row r="552" customFormat="false" ht="15" hidden="false" customHeight="false" outlineLevel="0" collapsed="false">
      <c r="A552" s="18" t="s">
        <v>5501</v>
      </c>
      <c r="B552" s="18" t="s">
        <v>5502</v>
      </c>
      <c r="C552" s="18" t="s">
        <v>5503</v>
      </c>
      <c r="D552" s="16" t="n">
        <v>-2</v>
      </c>
      <c r="E552" s="18" t="s">
        <v>3255</v>
      </c>
    </row>
    <row r="553" customFormat="false" ht="15" hidden="false" customHeight="false" outlineLevel="0" collapsed="false">
      <c r="A553" s="18" t="s">
        <v>5504</v>
      </c>
      <c r="B553" s="18" t="s">
        <v>5505</v>
      </c>
      <c r="C553" s="18" t="s">
        <v>5506</v>
      </c>
      <c r="D553" s="16" t="n">
        <v>-1</v>
      </c>
      <c r="E553" s="18" t="s">
        <v>3255</v>
      </c>
    </row>
    <row r="554" customFormat="false" ht="15" hidden="false" customHeight="false" outlineLevel="0" collapsed="false">
      <c r="A554" s="18" t="s">
        <v>5507</v>
      </c>
      <c r="B554" s="18" t="s">
        <v>5508</v>
      </c>
      <c r="C554" s="18" t="s">
        <v>5509</v>
      </c>
      <c r="D554" s="16" t="n">
        <v>-2</v>
      </c>
      <c r="E554" s="18" t="s">
        <v>3255</v>
      </c>
      <c r="F554" s="18" t="s">
        <v>5510</v>
      </c>
      <c r="H554" s="16" t="n">
        <v>439179</v>
      </c>
    </row>
    <row r="555" customFormat="false" ht="15" hidden="false" customHeight="false" outlineLevel="0" collapsed="false">
      <c r="A555" s="18" t="s">
        <v>5511</v>
      </c>
      <c r="B555" s="18" t="s">
        <v>5512</v>
      </c>
      <c r="C555" s="18" t="s">
        <v>5513</v>
      </c>
      <c r="D555" s="16" t="n">
        <v>-4</v>
      </c>
      <c r="E555" s="18" t="s">
        <v>3255</v>
      </c>
      <c r="F555" s="18" t="s">
        <v>5514</v>
      </c>
      <c r="G555" s="18" t="s">
        <v>5515</v>
      </c>
      <c r="H555" s="16" t="n">
        <v>5462271</v>
      </c>
    </row>
    <row r="556" customFormat="false" ht="15" hidden="false" customHeight="false" outlineLevel="0" collapsed="false">
      <c r="A556" s="18" t="s">
        <v>5516</v>
      </c>
      <c r="B556" s="18" t="s">
        <v>5517</v>
      </c>
      <c r="C556" s="18" t="s">
        <v>5518</v>
      </c>
      <c r="D556" s="16" t="n">
        <v>-4</v>
      </c>
      <c r="E556" s="18" t="s">
        <v>3255</v>
      </c>
      <c r="F556" s="18" t="s">
        <v>5519</v>
      </c>
      <c r="G556" s="18" t="s">
        <v>5520</v>
      </c>
    </row>
    <row r="557" customFormat="false" ht="15" hidden="false" customHeight="false" outlineLevel="0" collapsed="false">
      <c r="A557" s="18" t="s">
        <v>5521</v>
      </c>
      <c r="B557" s="18" t="s">
        <v>5522</v>
      </c>
      <c r="C557" s="18" t="s">
        <v>5523</v>
      </c>
      <c r="D557" s="16" t="n">
        <v>-4</v>
      </c>
      <c r="E557" s="18" t="s">
        <v>3255</v>
      </c>
    </row>
    <row r="558" customFormat="false" ht="15" hidden="false" customHeight="false" outlineLevel="0" collapsed="false">
      <c r="A558" s="18" t="s">
        <v>5524</v>
      </c>
      <c r="B558" s="18" t="s">
        <v>5525</v>
      </c>
      <c r="C558" s="18" t="s">
        <v>5526</v>
      </c>
      <c r="D558" s="16" t="n">
        <v>-2</v>
      </c>
      <c r="E558" s="18" t="s">
        <v>3255</v>
      </c>
      <c r="F558" s="18" t="s">
        <v>5527</v>
      </c>
      <c r="G558" s="18" t="s">
        <v>5528</v>
      </c>
      <c r="H558" s="16" t="n">
        <v>6030</v>
      </c>
    </row>
    <row r="559" customFormat="false" ht="15" hidden="false" customHeight="false" outlineLevel="0" collapsed="false">
      <c r="A559" s="18" t="s">
        <v>5529</v>
      </c>
      <c r="B559" s="18" t="s">
        <v>5530</v>
      </c>
      <c r="C559" s="18" t="s">
        <v>5531</v>
      </c>
      <c r="D559" s="16" t="n">
        <v>-8</v>
      </c>
      <c r="E559" s="18" t="s">
        <v>3255</v>
      </c>
      <c r="F559" s="18" t="s">
        <v>5532</v>
      </c>
      <c r="G559" s="18" t="s">
        <v>5533</v>
      </c>
      <c r="H559" s="16" t="n">
        <v>1179</v>
      </c>
    </row>
    <row r="560" customFormat="false" ht="15" hidden="false" customHeight="false" outlineLevel="0" collapsed="false">
      <c r="A560" s="18" t="s">
        <v>5534</v>
      </c>
      <c r="B560" s="18" t="s">
        <v>5535</v>
      </c>
      <c r="C560" s="18" t="s">
        <v>5536</v>
      </c>
      <c r="D560" s="16" t="n">
        <v>0</v>
      </c>
      <c r="E560" s="18" t="s">
        <v>3255</v>
      </c>
      <c r="F560" s="18" t="s">
        <v>5537</v>
      </c>
      <c r="G560" s="18" t="s">
        <v>5538</v>
      </c>
      <c r="H560" s="16" t="n">
        <v>1174</v>
      </c>
    </row>
    <row r="561" customFormat="false" ht="15" hidden="false" customHeight="false" outlineLevel="0" collapsed="false">
      <c r="A561" s="18" t="s">
        <v>5539</v>
      </c>
      <c r="B561" s="18" t="s">
        <v>5540</v>
      </c>
      <c r="C561" s="18" t="s">
        <v>5541</v>
      </c>
      <c r="D561" s="16" t="n">
        <v>0</v>
      </c>
      <c r="E561" s="18" t="s">
        <v>3255</v>
      </c>
      <c r="F561" s="18" t="s">
        <v>5542</v>
      </c>
      <c r="G561" s="18" t="s">
        <v>5543</v>
      </c>
      <c r="H561" s="16" t="n">
        <v>1175</v>
      </c>
    </row>
    <row r="562" customFormat="false" ht="15" hidden="false" customHeight="false" outlineLevel="0" collapsed="false">
      <c r="A562" s="18" t="s">
        <v>5544</v>
      </c>
      <c r="B562" s="18" t="s">
        <v>5545</v>
      </c>
      <c r="C562" s="18" t="s">
        <v>5546</v>
      </c>
      <c r="D562" s="16" t="n">
        <v>0</v>
      </c>
      <c r="E562" s="18" t="s">
        <v>3255</v>
      </c>
      <c r="F562" s="18" t="s">
        <v>5547</v>
      </c>
      <c r="G562" s="18" t="s">
        <v>5548</v>
      </c>
      <c r="H562" s="16" t="n">
        <v>6029</v>
      </c>
    </row>
    <row r="563" customFormat="false" ht="15" hidden="false" customHeight="false" outlineLevel="0" collapsed="false">
      <c r="A563" s="18" t="s">
        <v>5549</v>
      </c>
      <c r="B563" s="18" t="s">
        <v>5550</v>
      </c>
      <c r="C563" s="18" t="s">
        <v>5551</v>
      </c>
      <c r="D563" s="16" t="n">
        <v>-4</v>
      </c>
      <c r="E563" s="18" t="s">
        <v>3255</v>
      </c>
      <c r="F563" s="18" t="s">
        <v>5552</v>
      </c>
      <c r="G563" s="18" t="s">
        <v>5553</v>
      </c>
      <c r="H563" s="16" t="n">
        <v>6133</v>
      </c>
    </row>
    <row r="564" customFormat="false" ht="15" hidden="false" customHeight="false" outlineLevel="0" collapsed="false">
      <c r="A564" s="18" t="s">
        <v>5554</v>
      </c>
      <c r="B564" s="18" t="s">
        <v>5555</v>
      </c>
      <c r="C564" s="18" t="s">
        <v>5556</v>
      </c>
      <c r="D564" s="16" t="n">
        <v>-1</v>
      </c>
      <c r="E564" s="18" t="s">
        <v>3255</v>
      </c>
    </row>
    <row r="565" customFormat="false" ht="15" hidden="false" customHeight="false" outlineLevel="0" collapsed="false">
      <c r="A565" s="18" t="s">
        <v>5557</v>
      </c>
      <c r="B565" s="18" t="s">
        <v>5558</v>
      </c>
      <c r="C565" s="18" t="s">
        <v>5559</v>
      </c>
      <c r="D565" s="16" t="n">
        <v>-1</v>
      </c>
      <c r="E565" s="18" t="s">
        <v>3255</v>
      </c>
    </row>
    <row r="566" customFormat="false" ht="15" hidden="false" customHeight="false" outlineLevel="0" collapsed="false">
      <c r="A566" s="18" t="s">
        <v>5560</v>
      </c>
      <c r="B566" s="18" t="s">
        <v>5561</v>
      </c>
      <c r="C566" s="18" t="s">
        <v>5562</v>
      </c>
      <c r="D566" s="16" t="n">
        <v>0</v>
      </c>
      <c r="E566" s="18" t="s">
        <v>3255</v>
      </c>
      <c r="F566" s="18" t="s">
        <v>5563</v>
      </c>
      <c r="G566" s="18" t="s">
        <v>5564</v>
      </c>
      <c r="H566" s="16" t="n">
        <v>6287</v>
      </c>
    </row>
    <row r="567" customFormat="false" ht="15" hidden="false" customHeight="false" outlineLevel="0" collapsed="false">
      <c r="A567" s="18" t="s">
        <v>5565</v>
      </c>
      <c r="B567" s="18" t="s">
        <v>5566</v>
      </c>
      <c r="C567" s="18" t="s">
        <v>5567</v>
      </c>
      <c r="D567" s="16" t="n">
        <v>-1</v>
      </c>
      <c r="E567" s="18" t="s">
        <v>3255</v>
      </c>
    </row>
    <row r="568" customFormat="false" ht="15" hidden="false" customHeight="false" outlineLevel="0" collapsed="false">
      <c r="A568" s="18" t="s">
        <v>5568</v>
      </c>
      <c r="B568" s="18" t="s">
        <v>5569</v>
      </c>
      <c r="C568" s="18" t="s">
        <v>5570</v>
      </c>
      <c r="D568" s="16" t="n">
        <v>0</v>
      </c>
      <c r="E568" s="18" t="s">
        <v>3255</v>
      </c>
      <c r="F568" s="18" t="s">
        <v>5571</v>
      </c>
      <c r="G568" s="18" t="s">
        <v>5572</v>
      </c>
      <c r="H568" s="16" t="n">
        <v>1188</v>
      </c>
    </row>
    <row r="569" customFormat="false" ht="15" hidden="false" customHeight="false" outlineLevel="0" collapsed="false">
      <c r="A569" s="18" t="s">
        <v>5573</v>
      </c>
      <c r="B569" s="18" t="s">
        <v>5574</v>
      </c>
      <c r="C569" s="18" t="s">
        <v>5575</v>
      </c>
      <c r="D569" s="16" t="n">
        <v>-2</v>
      </c>
      <c r="E569" s="18" t="s">
        <v>3255</v>
      </c>
      <c r="F569" s="18" t="s">
        <v>5576</v>
      </c>
      <c r="G569" s="18" t="s">
        <v>5577</v>
      </c>
      <c r="H569" s="16" t="n">
        <v>73323</v>
      </c>
    </row>
    <row r="570" customFormat="false" ht="15" hidden="false" customHeight="false" outlineLevel="0" collapsed="false">
      <c r="A570" s="18" t="s">
        <v>5578</v>
      </c>
      <c r="B570" s="18" t="s">
        <v>5579</v>
      </c>
      <c r="C570" s="18" t="s">
        <v>5580</v>
      </c>
      <c r="D570" s="16" t="n">
        <v>0</v>
      </c>
      <c r="E570" s="18" t="s">
        <v>3255</v>
      </c>
      <c r="F570" s="18" t="s">
        <v>5581</v>
      </c>
      <c r="G570" s="18" t="s">
        <v>5582</v>
      </c>
      <c r="H570" s="16" t="n">
        <v>64959</v>
      </c>
    </row>
    <row r="571" customFormat="false" ht="15" hidden="false" customHeight="false" outlineLevel="0" collapsed="false">
      <c r="A571" s="18" t="s">
        <v>5583</v>
      </c>
      <c r="B571" s="18" t="s">
        <v>5584</v>
      </c>
      <c r="C571" s="18" t="s">
        <v>3907</v>
      </c>
      <c r="D571" s="16" t="n">
        <v>-2</v>
      </c>
      <c r="E571" s="18" t="s">
        <v>3255</v>
      </c>
      <c r="F571" s="18" t="s">
        <v>5585</v>
      </c>
      <c r="G571" s="18" t="s">
        <v>5586</v>
      </c>
      <c r="H571" s="16" t="n">
        <v>439190</v>
      </c>
    </row>
    <row r="572" customFormat="false" ht="15" hidden="false" customHeight="false" outlineLevel="0" collapsed="false">
      <c r="A572" s="18" t="s">
        <v>5587</v>
      </c>
      <c r="B572" s="18" t="s">
        <v>5588</v>
      </c>
      <c r="C572" s="18" t="s">
        <v>5589</v>
      </c>
      <c r="D572" s="16" t="n">
        <v>2</v>
      </c>
      <c r="E572" s="18" t="s">
        <v>3255</v>
      </c>
      <c r="F572" s="18" t="s">
        <v>5590</v>
      </c>
      <c r="G572" s="18" t="s">
        <v>5591</v>
      </c>
      <c r="H572" s="16" t="n">
        <v>16048890</v>
      </c>
    </row>
    <row r="573" customFormat="false" ht="15" hidden="false" customHeight="false" outlineLevel="0" collapsed="false">
      <c r="A573" s="18" t="s">
        <v>5592</v>
      </c>
      <c r="B573" s="18" t="s">
        <v>5588</v>
      </c>
      <c r="C573" s="18" t="s">
        <v>5589</v>
      </c>
      <c r="D573" s="16" t="n">
        <v>2</v>
      </c>
      <c r="E573" s="18" t="s">
        <v>3592</v>
      </c>
      <c r="F573" s="18" t="s">
        <v>5590</v>
      </c>
      <c r="G573" s="18" t="s">
        <v>5591</v>
      </c>
      <c r="H573" s="16" t="n">
        <v>16048890</v>
      </c>
    </row>
    <row r="574" customFormat="false" ht="15" hidden="false" customHeight="false" outlineLevel="0" collapsed="false">
      <c r="A574" s="18" t="s">
        <v>5593</v>
      </c>
      <c r="B574" s="18" t="s">
        <v>5588</v>
      </c>
      <c r="C574" s="18" t="s">
        <v>5589</v>
      </c>
      <c r="D574" s="16" t="n">
        <v>2</v>
      </c>
      <c r="E574" s="18" t="s">
        <v>3594</v>
      </c>
      <c r="F574" s="18" t="s">
        <v>5590</v>
      </c>
      <c r="G574" s="18" t="s">
        <v>5591</v>
      </c>
      <c r="H574" s="16" t="n">
        <v>16048890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D101" activeCellId="0" sqref="D10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8.31"/>
    <col collapsed="false" customWidth="true" hidden="false" outlineLevel="0" max="2" min="2" style="1" width="15.07"/>
    <col collapsed="false" customWidth="true" hidden="false" outlineLevel="0" max="3" min="3" style="1" width="9.48"/>
    <col collapsed="false" customWidth="true" hidden="false" outlineLevel="0" max="4" min="4" style="1" width="12.34"/>
    <col collapsed="false" customWidth="true" hidden="false" outlineLevel="0" max="5" min="5" style="1" width="12.08"/>
    <col collapsed="false" customWidth="true" hidden="false" outlineLevel="0" max="6" min="6" style="1" width="12.47"/>
    <col collapsed="false" customWidth="true" hidden="false" outlineLevel="0" max="7" min="7" style="1" width="9.48"/>
    <col collapsed="false" customWidth="true" hidden="false" outlineLevel="0" max="8" min="8" style="1" width="11.17"/>
    <col collapsed="false" customWidth="true" hidden="false" outlineLevel="0" max="9" min="9" style="1" width="17.41"/>
    <col collapsed="false" customWidth="true" hidden="false" outlineLevel="0" max="10" min="10" style="1" width="4.15"/>
    <col collapsed="false" customWidth="true" hidden="false" outlineLevel="0" max="11" min="11" style="1" width="4.28"/>
    <col collapsed="false" customWidth="true" hidden="false" outlineLevel="0" max="12" min="12" style="1" width="4.8"/>
    <col collapsed="false" customWidth="true" hidden="false" outlineLevel="0" max="13" min="13" style="1" width="4.54"/>
    <col collapsed="false" customWidth="true" hidden="false" outlineLevel="0" max="14" min="14" style="1" width="4.8"/>
    <col collapsed="false" customWidth="true" hidden="false" outlineLevel="0" max="15" min="15" style="1" width="4.93"/>
    <col collapsed="false" customWidth="true" hidden="false" outlineLevel="0" max="16" min="16" style="1" width="10.65"/>
    <col collapsed="false" customWidth="true" hidden="false" outlineLevel="0" max="17" min="17" style="1" width="17.41"/>
    <col collapsed="false" customWidth="true" hidden="false" outlineLevel="0" max="18" min="18" style="1" width="10.78"/>
    <col collapsed="false" customWidth="true" hidden="false" outlineLevel="0" max="19" min="19" style="1" width="17.28"/>
    <col collapsed="false" customWidth="true" hidden="false" outlineLevel="0" max="20" min="20" style="1" width="8.31"/>
    <col collapsed="false" customWidth="true" hidden="false" outlineLevel="0" max="21" min="21" style="1" width="17.15"/>
    <col collapsed="false" customWidth="true" hidden="false" outlineLevel="0" max="22" min="22" style="1" width="11.17"/>
    <col collapsed="false" customWidth="true" hidden="false" outlineLevel="0" max="23" min="23" style="1" width="8.31"/>
  </cols>
  <sheetData>
    <row r="1" customFormat="false" ht="1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20" t="s">
        <v>5594</v>
      </c>
      <c r="K1" s="20"/>
      <c r="L1" s="20"/>
      <c r="M1" s="20"/>
      <c r="N1" s="20"/>
      <c r="O1" s="20"/>
      <c r="P1" s="19"/>
      <c r="Q1" s="19"/>
      <c r="R1" s="19"/>
      <c r="S1" s="19"/>
      <c r="T1" s="19"/>
      <c r="U1" s="19"/>
      <c r="V1" s="19"/>
    </row>
    <row r="2" customFormat="false" ht="15.75" hidden="false" customHeight="false" outlineLevel="0" collapsed="false">
      <c r="A2" s="19"/>
      <c r="B2" s="19"/>
      <c r="C2" s="19"/>
      <c r="D2" s="21"/>
      <c r="E2" s="19"/>
      <c r="F2" s="19"/>
      <c r="G2" s="19"/>
      <c r="H2" s="19"/>
      <c r="I2" s="19"/>
      <c r="J2" s="22" t="n">
        <v>12.011</v>
      </c>
      <c r="K2" s="22" t="n">
        <v>1.008</v>
      </c>
      <c r="L2" s="22" t="n">
        <v>14.007</v>
      </c>
      <c r="M2" s="22" t="n">
        <v>15.999</v>
      </c>
      <c r="N2" s="22" t="n">
        <v>30.974</v>
      </c>
      <c r="O2" s="22" t="n">
        <v>32.066</v>
      </c>
      <c r="P2" s="19"/>
      <c r="Q2" s="19"/>
      <c r="R2" s="19"/>
      <c r="S2" s="19"/>
      <c r="T2" s="19"/>
      <c r="U2" s="19"/>
      <c r="V2" s="19"/>
    </row>
    <row r="3" customFormat="false" ht="51" hidden="false" customHeight="false" outlineLevel="0" collapsed="false">
      <c r="A3" s="23"/>
      <c r="B3" s="24" t="s">
        <v>5595</v>
      </c>
      <c r="C3" s="24" t="s">
        <v>5596</v>
      </c>
      <c r="D3" s="24" t="s">
        <v>5597</v>
      </c>
      <c r="E3" s="24" t="s">
        <v>5598</v>
      </c>
      <c r="F3" s="24" t="s">
        <v>5599</v>
      </c>
      <c r="G3" s="25" t="s">
        <v>5600</v>
      </c>
      <c r="H3" s="24" t="s">
        <v>5601</v>
      </c>
      <c r="I3" s="24" t="s">
        <v>5602</v>
      </c>
      <c r="J3" s="24" t="s">
        <v>3722</v>
      </c>
      <c r="K3" s="24" t="s">
        <v>4653</v>
      </c>
      <c r="L3" s="24" t="s">
        <v>5603</v>
      </c>
      <c r="M3" s="24" t="s">
        <v>5604</v>
      </c>
      <c r="N3" s="24" t="s">
        <v>5605</v>
      </c>
      <c r="O3" s="24" t="s">
        <v>5270</v>
      </c>
      <c r="P3" s="24" t="s">
        <v>5606</v>
      </c>
      <c r="Q3" s="24" t="s">
        <v>5607</v>
      </c>
      <c r="R3" s="24" t="s">
        <v>5608</v>
      </c>
      <c r="S3" s="24" t="s">
        <v>5609</v>
      </c>
      <c r="T3" s="24" t="s">
        <v>5610</v>
      </c>
      <c r="U3" s="24" t="s">
        <v>5611</v>
      </c>
      <c r="V3" s="26" t="s">
        <v>5612</v>
      </c>
      <c r="W3" s="27"/>
    </row>
    <row r="4" customFormat="false" ht="26.25" hidden="false" customHeight="true" outlineLevel="0" collapsed="false">
      <c r="A4" s="28" t="s">
        <v>5613</v>
      </c>
      <c r="B4" s="29" t="s">
        <v>5614</v>
      </c>
      <c r="C4" s="30"/>
      <c r="D4" s="31"/>
      <c r="E4" s="32" t="s">
        <v>5615</v>
      </c>
      <c r="F4" s="32" t="s">
        <v>5616</v>
      </c>
      <c r="G4" s="33" t="n">
        <f aca="false">SUM(G5:G24)</f>
        <v>5.56851993662246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customFormat="false" ht="15" hidden="false" customHeight="false" outlineLevel="0" collapsed="false">
      <c r="A5" s="28"/>
      <c r="B5" s="29"/>
      <c r="C5" s="34" t="s">
        <v>5617</v>
      </c>
      <c r="D5" s="34" t="s">
        <v>5618</v>
      </c>
      <c r="E5" s="34" t="n">
        <v>7.8</v>
      </c>
      <c r="F5" s="35" t="n">
        <v>0.00109737053138058</v>
      </c>
      <c r="G5" s="36" t="n">
        <f aca="false">F5*0.6*1000</f>
        <v>0.658422318828346</v>
      </c>
      <c r="H5" s="34" t="s">
        <v>5619</v>
      </c>
      <c r="I5" s="34" t="s">
        <v>3842</v>
      </c>
      <c r="J5" s="34" t="n">
        <v>3</v>
      </c>
      <c r="K5" s="34" t="n">
        <v>7</v>
      </c>
      <c r="L5" s="34" t="n">
        <v>1</v>
      </c>
      <c r="M5" s="34" t="n">
        <v>2</v>
      </c>
      <c r="N5" s="34" t="n">
        <v>0</v>
      </c>
      <c r="O5" s="34" t="n">
        <v>0</v>
      </c>
      <c r="P5" s="37" t="n">
        <f aca="false">J5*$J$2+K5*$K$2+L5*$L$2+M5*$M$2+N5*$N$2+O5*$O$2</f>
        <v>89.094</v>
      </c>
      <c r="Q5" s="34" t="s">
        <v>5620</v>
      </c>
      <c r="R5" s="37" t="n">
        <f aca="false">P5-2*$K$2-$M$2</f>
        <v>71.079</v>
      </c>
      <c r="S5" s="38"/>
      <c r="T5" s="38"/>
      <c r="U5" s="38"/>
      <c r="V5" s="38"/>
    </row>
    <row r="6" customFormat="false" ht="15" hidden="false" customHeight="false" outlineLevel="0" collapsed="false">
      <c r="A6" s="28"/>
      <c r="B6" s="29"/>
      <c r="C6" s="34"/>
      <c r="D6" s="34" t="s">
        <v>5621</v>
      </c>
      <c r="E6" s="34" t="n">
        <v>7.3</v>
      </c>
      <c r="F6" s="35" t="n">
        <v>0.000464385452648587</v>
      </c>
      <c r="G6" s="36" t="n">
        <f aca="false">F6*0.6*1000</f>
        <v>0.278631271589152</v>
      </c>
      <c r="H6" s="34" t="s">
        <v>5619</v>
      </c>
      <c r="I6" s="34" t="s">
        <v>3915</v>
      </c>
      <c r="J6" s="34" t="n">
        <v>6</v>
      </c>
      <c r="K6" s="34" t="n">
        <v>15</v>
      </c>
      <c r="L6" s="34" t="n">
        <v>4</v>
      </c>
      <c r="M6" s="34" t="n">
        <v>2</v>
      </c>
      <c r="N6" s="34" t="n">
        <v>0</v>
      </c>
      <c r="O6" s="34" t="n">
        <v>0</v>
      </c>
      <c r="P6" s="37" t="n">
        <f aca="false">J6*$J$2+K6*$K$2+L6*$L$2+M6*$M$2+N6*$N$2+O6*$O$2</f>
        <v>175.212</v>
      </c>
      <c r="Q6" s="34" t="s">
        <v>5620</v>
      </c>
      <c r="R6" s="37" t="n">
        <f aca="false">P6-2*$K$2-$M$2</f>
        <v>157.197</v>
      </c>
      <c r="S6" s="38"/>
      <c r="T6" s="38"/>
      <c r="U6" s="38"/>
      <c r="V6" s="38"/>
    </row>
    <row r="7" customFormat="false" ht="15" hidden="false" customHeight="false" outlineLevel="0" collapsed="false">
      <c r="A7" s="28"/>
      <c r="B7" s="29"/>
      <c r="C7" s="34"/>
      <c r="D7" s="34" t="s">
        <v>5622</v>
      </c>
      <c r="E7" s="34" t="n">
        <v>5.15</v>
      </c>
      <c r="F7" s="35" t="n">
        <v>0.000451342634789315</v>
      </c>
      <c r="G7" s="36" t="n">
        <f aca="false">F7*0.6*1000</f>
        <v>0.270805580873589</v>
      </c>
      <c r="H7" s="34" t="s">
        <v>5619</v>
      </c>
      <c r="I7" s="34" t="s">
        <v>3925</v>
      </c>
      <c r="J7" s="34" t="n">
        <v>4</v>
      </c>
      <c r="K7" s="34" t="n">
        <v>8</v>
      </c>
      <c r="L7" s="34" t="n">
        <v>2</v>
      </c>
      <c r="M7" s="34" t="n">
        <v>3</v>
      </c>
      <c r="N7" s="34" t="n">
        <v>0</v>
      </c>
      <c r="O7" s="34" t="n">
        <v>0</v>
      </c>
      <c r="P7" s="37" t="n">
        <f aca="false">J7*$J$2+K7*$K$2+L7*$L$2+M7*$M$2+N7*$N$2+O7*$O$2</f>
        <v>132.119</v>
      </c>
      <c r="Q7" s="34" t="s">
        <v>5620</v>
      </c>
      <c r="R7" s="37" t="n">
        <f aca="false">P7-2*$K$2-$M$2</f>
        <v>114.104</v>
      </c>
      <c r="S7" s="38"/>
      <c r="T7" s="38"/>
      <c r="U7" s="38"/>
      <c r="V7" s="38"/>
    </row>
    <row r="8" customFormat="false" ht="15" hidden="false" customHeight="false" outlineLevel="0" collapsed="false">
      <c r="A8" s="28"/>
      <c r="B8" s="29"/>
      <c r="C8" s="34"/>
      <c r="D8" s="34" t="s">
        <v>5623</v>
      </c>
      <c r="E8" s="34" t="n">
        <v>5.15</v>
      </c>
      <c r="F8" s="35" t="n">
        <v>0.000451437587657784</v>
      </c>
      <c r="G8" s="36" t="n">
        <f aca="false">F8*0.6*1000</f>
        <v>0.27086255259467</v>
      </c>
      <c r="H8" s="34" t="s">
        <v>5619</v>
      </c>
      <c r="I8" s="34" t="s">
        <v>3930</v>
      </c>
      <c r="J8" s="34" t="n">
        <v>4</v>
      </c>
      <c r="K8" s="34" t="n">
        <v>6</v>
      </c>
      <c r="L8" s="34" t="n">
        <v>1</v>
      </c>
      <c r="M8" s="34" t="n">
        <v>4</v>
      </c>
      <c r="N8" s="34" t="n">
        <v>0</v>
      </c>
      <c r="O8" s="34" t="n">
        <v>0</v>
      </c>
      <c r="P8" s="37" t="n">
        <f aca="false">J8*$J$2+K8*$K$2+L8*$L$2+M8*$M$2+N8*$N$2+O8*$O$2</f>
        <v>132.095</v>
      </c>
      <c r="Q8" s="34" t="s">
        <v>5620</v>
      </c>
      <c r="R8" s="37" t="n">
        <f aca="false">P8-2*$K$2-$M$2</f>
        <v>114.08</v>
      </c>
      <c r="S8" s="38"/>
      <c r="T8" s="38"/>
      <c r="U8" s="38"/>
      <c r="V8" s="38"/>
    </row>
    <row r="9" customFormat="false" ht="15" hidden="false" customHeight="false" outlineLevel="0" collapsed="false">
      <c r="A9" s="28"/>
      <c r="B9" s="29"/>
      <c r="C9" s="34"/>
      <c r="D9" s="34" t="s">
        <v>5624</v>
      </c>
      <c r="E9" s="34" t="n">
        <v>0</v>
      </c>
      <c r="F9" s="35" t="n">
        <v>0</v>
      </c>
      <c r="G9" s="36" t="n">
        <f aca="false">F9*0.6*1000</f>
        <v>0</v>
      </c>
      <c r="H9" s="34" t="s">
        <v>5619</v>
      </c>
      <c r="I9" s="34" t="s">
        <v>4102</v>
      </c>
      <c r="J9" s="34" t="n">
        <v>3</v>
      </c>
      <c r="K9" s="34" t="n">
        <v>7</v>
      </c>
      <c r="L9" s="34" t="n">
        <v>1</v>
      </c>
      <c r="M9" s="34" t="n">
        <v>2</v>
      </c>
      <c r="N9" s="34" t="n">
        <v>0</v>
      </c>
      <c r="O9" s="34" t="n">
        <v>1</v>
      </c>
      <c r="P9" s="37" t="n">
        <f aca="false">J9*$J$2+K9*$K$2+L9*$L$2+M9*$M$2+N9*$N$2+O9*$O$2</f>
        <v>121.16</v>
      </c>
      <c r="Q9" s="34" t="s">
        <v>5620</v>
      </c>
      <c r="R9" s="37" t="n">
        <f aca="false">P9-2*$K$2-$M$2</f>
        <v>103.145</v>
      </c>
      <c r="S9" s="38"/>
      <c r="T9" s="38"/>
      <c r="U9" s="38"/>
      <c r="V9" s="38"/>
    </row>
    <row r="10" customFormat="false" ht="15" hidden="false" customHeight="false" outlineLevel="0" collapsed="false">
      <c r="A10" s="28"/>
      <c r="B10" s="29"/>
      <c r="C10" s="34"/>
      <c r="D10" s="34" t="s">
        <v>5625</v>
      </c>
      <c r="E10" s="34" t="n">
        <v>5.55</v>
      </c>
      <c r="F10" s="35" t="n">
        <v>0.000433150447588796</v>
      </c>
      <c r="G10" s="36" t="n">
        <f aca="false">F10*0.6*1000</f>
        <v>0.259890268553277</v>
      </c>
      <c r="H10" s="34" t="s">
        <v>5619</v>
      </c>
      <c r="I10" s="34" t="s">
        <v>4507</v>
      </c>
      <c r="J10" s="34" t="n">
        <v>5</v>
      </c>
      <c r="K10" s="34" t="n">
        <v>10</v>
      </c>
      <c r="L10" s="34" t="n">
        <v>2</v>
      </c>
      <c r="M10" s="34" t="n">
        <v>3</v>
      </c>
      <c r="N10" s="34" t="n">
        <v>0</v>
      </c>
      <c r="O10" s="34" t="n">
        <v>0</v>
      </c>
      <c r="P10" s="37" t="n">
        <f aca="false">J10*$J$2+K10*$K$2+L10*$L$2+M10*$M$2+N10*$N$2+O10*$O$2</f>
        <v>146.146</v>
      </c>
      <c r="Q10" s="34" t="s">
        <v>5620</v>
      </c>
      <c r="R10" s="37" t="n">
        <f aca="false">P10-2*$K$2-$M$2</f>
        <v>128.131</v>
      </c>
      <c r="S10" s="38"/>
      <c r="T10" s="38"/>
      <c r="U10" s="38"/>
      <c r="V10" s="38"/>
    </row>
    <row r="11" customFormat="false" ht="15" hidden="false" customHeight="false" outlineLevel="0" collapsed="false">
      <c r="A11" s="28"/>
      <c r="B11" s="29"/>
      <c r="C11" s="34"/>
      <c r="D11" s="34" t="s">
        <v>5626</v>
      </c>
      <c r="E11" s="34" t="n">
        <v>5.55</v>
      </c>
      <c r="F11" s="35" t="n">
        <v>0.000433231595463167</v>
      </c>
      <c r="G11" s="36" t="n">
        <f aca="false">F11*0.6*1000</f>
        <v>0.2599389572779</v>
      </c>
      <c r="H11" s="34" t="s">
        <v>5619</v>
      </c>
      <c r="I11" s="34" t="s">
        <v>4512</v>
      </c>
      <c r="J11" s="34" t="n">
        <v>5</v>
      </c>
      <c r="K11" s="34" t="n">
        <v>8</v>
      </c>
      <c r="L11" s="34" t="n">
        <v>1</v>
      </c>
      <c r="M11" s="34" t="n">
        <v>4</v>
      </c>
      <c r="N11" s="34" t="n">
        <v>0</v>
      </c>
      <c r="O11" s="34" t="n">
        <v>0</v>
      </c>
      <c r="P11" s="37" t="n">
        <f aca="false">J11*$J$2+K11*$K$2+L11*$L$2+M11*$M$2+N11*$N$2+O11*$O$2</f>
        <v>146.122</v>
      </c>
      <c r="Q11" s="34" t="s">
        <v>5620</v>
      </c>
      <c r="R11" s="37" t="n">
        <f aca="false">P11-2*$K$2-$M$2</f>
        <v>128.107</v>
      </c>
      <c r="S11" s="38"/>
      <c r="T11" s="38"/>
      <c r="U11" s="38"/>
      <c r="V11" s="38"/>
    </row>
    <row r="12" customFormat="false" ht="15" hidden="false" customHeight="false" outlineLevel="0" collapsed="false">
      <c r="A12" s="28"/>
      <c r="B12" s="29"/>
      <c r="C12" s="34"/>
      <c r="D12" s="34" t="s">
        <v>5627</v>
      </c>
      <c r="E12" s="34" t="n">
        <v>5.2</v>
      </c>
      <c r="F12" s="35" t="n">
        <v>0.000911449204234733</v>
      </c>
      <c r="G12" s="36" t="n">
        <f aca="false">F12*0.6*1000</f>
        <v>0.54686952254084</v>
      </c>
      <c r="H12" s="34" t="s">
        <v>5619</v>
      </c>
      <c r="I12" s="34" t="s">
        <v>4544</v>
      </c>
      <c r="J12" s="34" t="n">
        <v>2</v>
      </c>
      <c r="K12" s="34" t="n">
        <v>5</v>
      </c>
      <c r="L12" s="34" t="n">
        <v>1</v>
      </c>
      <c r="M12" s="34" t="n">
        <v>2</v>
      </c>
      <c r="N12" s="34" t="n">
        <v>0</v>
      </c>
      <c r="O12" s="34" t="n">
        <v>0</v>
      </c>
      <c r="P12" s="37" t="n">
        <f aca="false">J12*$J$2+K12*$K$2+L12*$L$2+M12*$M$2+N12*$N$2+O12*$O$2</f>
        <v>75.067</v>
      </c>
      <c r="Q12" s="34" t="s">
        <v>5620</v>
      </c>
      <c r="R12" s="37" t="n">
        <f aca="false">P12-2*$K$2-$M$2</f>
        <v>57.052</v>
      </c>
      <c r="S12" s="38"/>
      <c r="T12" s="38"/>
      <c r="U12" s="38"/>
      <c r="V12" s="38"/>
    </row>
    <row r="13" customFormat="false" ht="15" hidden="false" customHeight="false" outlineLevel="0" collapsed="false">
      <c r="A13" s="28"/>
      <c r="B13" s="29"/>
      <c r="C13" s="34"/>
      <c r="D13" s="34" t="s">
        <v>5628</v>
      </c>
      <c r="E13" s="34" t="n">
        <v>5.5</v>
      </c>
      <c r="F13" s="35" t="n">
        <v>0.000401044173192749</v>
      </c>
      <c r="G13" s="36" t="n">
        <f aca="false">F13*0.6*1000</f>
        <v>0.240626503915649</v>
      </c>
      <c r="H13" s="34" t="s">
        <v>5619</v>
      </c>
      <c r="I13" s="34" t="s">
        <v>4679</v>
      </c>
      <c r="J13" s="34" t="n">
        <v>6</v>
      </c>
      <c r="K13" s="34" t="n">
        <v>9</v>
      </c>
      <c r="L13" s="34" t="n">
        <v>3</v>
      </c>
      <c r="M13" s="34" t="n">
        <v>2</v>
      </c>
      <c r="N13" s="34" t="n">
        <v>0</v>
      </c>
      <c r="O13" s="34" t="n">
        <v>0</v>
      </c>
      <c r="P13" s="37" t="n">
        <f aca="false">J13*$J$2+K13*$K$2+L13*$L$2+M13*$M$2+N13*$N$2+O13*$O$2</f>
        <v>155.157</v>
      </c>
      <c r="Q13" s="34" t="s">
        <v>5620</v>
      </c>
      <c r="R13" s="37" t="n">
        <f aca="false">P13-2*$K$2-$M$2</f>
        <v>137.142</v>
      </c>
      <c r="S13" s="38"/>
      <c r="T13" s="38"/>
      <c r="U13" s="38"/>
      <c r="V13" s="38"/>
    </row>
    <row r="14" customFormat="false" ht="15" hidden="false" customHeight="false" outlineLevel="0" collapsed="false">
      <c r="A14" s="28"/>
      <c r="B14" s="29"/>
      <c r="C14" s="34"/>
      <c r="D14" s="34" t="s">
        <v>5629</v>
      </c>
      <c r="E14" s="34" t="n">
        <v>5.4</v>
      </c>
      <c r="F14" s="35" t="n">
        <v>0.000477200424178155</v>
      </c>
      <c r="G14" s="36" t="n">
        <f aca="false">F14*0.6*1000</f>
        <v>0.286320254506893</v>
      </c>
      <c r="H14" s="34" t="s">
        <v>5619</v>
      </c>
      <c r="I14" s="34" t="s">
        <v>4728</v>
      </c>
      <c r="J14" s="34" t="n">
        <v>6</v>
      </c>
      <c r="K14" s="34" t="n">
        <v>13</v>
      </c>
      <c r="L14" s="34" t="n">
        <v>1</v>
      </c>
      <c r="M14" s="34" t="n">
        <v>2</v>
      </c>
      <c r="N14" s="34" t="n">
        <v>0</v>
      </c>
      <c r="O14" s="34" t="n">
        <v>0</v>
      </c>
      <c r="P14" s="37" t="n">
        <f aca="false">J14*$J$2+K14*$K$2+L14*$L$2+M14*$M$2+N14*$N$2+O14*$O$2</f>
        <v>131.175</v>
      </c>
      <c r="Q14" s="34" t="s">
        <v>5620</v>
      </c>
      <c r="R14" s="37" t="n">
        <f aca="false">P14-2*$K$2-$M$2</f>
        <v>113.16</v>
      </c>
      <c r="S14" s="38"/>
      <c r="T14" s="38"/>
      <c r="U14" s="38"/>
      <c r="V14" s="38"/>
    </row>
    <row r="15" customFormat="false" ht="15" hidden="false" customHeight="false" outlineLevel="0" collapsed="false">
      <c r="A15" s="28"/>
      <c r="B15" s="29"/>
      <c r="C15" s="34"/>
      <c r="D15" s="34" t="s">
        <v>5630</v>
      </c>
      <c r="E15" s="34" t="n">
        <v>9.6</v>
      </c>
      <c r="F15" s="35" t="n">
        <v>0.000848356309650053</v>
      </c>
      <c r="G15" s="36" t="n">
        <f aca="false">F15*0.6*1000</f>
        <v>0.509013785790032</v>
      </c>
      <c r="H15" s="34" t="s">
        <v>5619</v>
      </c>
      <c r="I15" s="34" t="s">
        <v>4728</v>
      </c>
      <c r="J15" s="34" t="n">
        <v>6</v>
      </c>
      <c r="K15" s="34" t="n">
        <v>13</v>
      </c>
      <c r="L15" s="34" t="n">
        <v>1</v>
      </c>
      <c r="M15" s="34" t="n">
        <v>2</v>
      </c>
      <c r="N15" s="34" t="n">
        <v>0</v>
      </c>
      <c r="O15" s="34" t="n">
        <v>0</v>
      </c>
      <c r="P15" s="37" t="n">
        <f aca="false">J15*$J$2+K15*$K$2+L15*$L$2+M15*$M$2+N15*$N$2+O15*$O$2</f>
        <v>131.175</v>
      </c>
      <c r="Q15" s="34" t="s">
        <v>5620</v>
      </c>
      <c r="R15" s="37" t="n">
        <f aca="false">P15-2*$K$2-$M$2</f>
        <v>113.16</v>
      </c>
      <c r="S15" s="38"/>
      <c r="T15" s="38"/>
      <c r="U15" s="38"/>
      <c r="V15" s="38"/>
    </row>
    <row r="16" customFormat="false" ht="15" hidden="false" customHeight="false" outlineLevel="0" collapsed="false">
      <c r="A16" s="28"/>
      <c r="B16" s="29"/>
      <c r="C16" s="34"/>
      <c r="D16" s="34" t="s">
        <v>5631</v>
      </c>
      <c r="E16" s="34" t="n">
        <v>7.1</v>
      </c>
      <c r="F16" s="35" t="n">
        <v>0.000549607920546821</v>
      </c>
      <c r="G16" s="36" t="n">
        <f aca="false">F16*0.6*1000</f>
        <v>0.329764752328093</v>
      </c>
      <c r="H16" s="34" t="s">
        <v>5619</v>
      </c>
      <c r="I16" s="34" t="s">
        <v>4794</v>
      </c>
      <c r="J16" s="34" t="n">
        <v>6</v>
      </c>
      <c r="K16" s="34" t="n">
        <v>15</v>
      </c>
      <c r="L16" s="34" t="n">
        <v>2</v>
      </c>
      <c r="M16" s="34" t="n">
        <v>2</v>
      </c>
      <c r="N16" s="34" t="n">
        <v>0</v>
      </c>
      <c r="O16" s="34" t="n">
        <v>0</v>
      </c>
      <c r="P16" s="37" t="n">
        <f aca="false">J16*$J$2+K16*$K$2+L16*$L$2+M16*$M$2+N16*$N$2+O16*$O$2</f>
        <v>147.198</v>
      </c>
      <c r="Q16" s="34" t="s">
        <v>5620</v>
      </c>
      <c r="R16" s="37" t="n">
        <f aca="false">P16-2*$K$2-$M$2</f>
        <v>129.183</v>
      </c>
      <c r="S16" s="38"/>
      <c r="T16" s="38"/>
      <c r="U16" s="38"/>
      <c r="V16" s="38"/>
    </row>
    <row r="17" customFormat="false" ht="15" hidden="false" customHeight="false" outlineLevel="0" collapsed="false">
      <c r="A17" s="28"/>
      <c r="B17" s="29"/>
      <c r="C17" s="34"/>
      <c r="D17" s="34" t="s">
        <v>5632</v>
      </c>
      <c r="E17" s="34" t="n">
        <v>3.7</v>
      </c>
      <c r="F17" s="35" t="n">
        <v>0.000282014344621529</v>
      </c>
      <c r="G17" s="36" t="n">
        <f aca="false">F17*0.6*1000</f>
        <v>0.169208606772917</v>
      </c>
      <c r="H17" s="34" t="s">
        <v>5619</v>
      </c>
      <c r="I17" s="34" t="s">
        <v>4836</v>
      </c>
      <c r="J17" s="34" t="n">
        <v>5</v>
      </c>
      <c r="K17" s="34" t="n">
        <v>11</v>
      </c>
      <c r="L17" s="34" t="n">
        <v>1</v>
      </c>
      <c r="M17" s="34" t="n">
        <v>2</v>
      </c>
      <c r="N17" s="34" t="n">
        <v>0</v>
      </c>
      <c r="O17" s="34" t="n">
        <v>1</v>
      </c>
      <c r="P17" s="37" t="n">
        <f aca="false">J17*$J$2+K17*$K$2+L17*$L$2+M17*$M$2+N17*$N$2+O17*$O$2</f>
        <v>149.214</v>
      </c>
      <c r="Q17" s="34" t="s">
        <v>5620</v>
      </c>
      <c r="R17" s="37" t="n">
        <f aca="false">P17-2*$K$2-$M$2</f>
        <v>131.199</v>
      </c>
      <c r="S17" s="38"/>
      <c r="T17" s="38"/>
      <c r="U17" s="38"/>
      <c r="V17" s="38"/>
    </row>
    <row r="18" customFormat="false" ht="15" hidden="false" customHeight="false" outlineLevel="0" collapsed="false">
      <c r="A18" s="28"/>
      <c r="B18" s="29"/>
      <c r="C18" s="34"/>
      <c r="D18" s="34" t="s">
        <v>5633</v>
      </c>
      <c r="E18" s="34" t="n">
        <v>4.4</v>
      </c>
      <c r="F18" s="35" t="n">
        <v>0.000298959755940127</v>
      </c>
      <c r="G18" s="36" t="n">
        <f aca="false">F18*0.6*1000</f>
        <v>0.179375853564076</v>
      </c>
      <c r="H18" s="34" t="s">
        <v>5619</v>
      </c>
      <c r="I18" s="34" t="s">
        <v>5028</v>
      </c>
      <c r="J18" s="34" t="n">
        <v>9</v>
      </c>
      <c r="K18" s="34" t="n">
        <v>11</v>
      </c>
      <c r="L18" s="34" t="n">
        <v>1</v>
      </c>
      <c r="M18" s="34" t="n">
        <v>2</v>
      </c>
      <c r="N18" s="34" t="n">
        <v>0</v>
      </c>
      <c r="O18" s="34" t="n">
        <v>0</v>
      </c>
      <c r="P18" s="37" t="n">
        <f aca="false">J18*$J$2+K18*$K$2+L18*$L$2+M18*$M$2+N18*$N$2+O18*$O$2</f>
        <v>165.192</v>
      </c>
      <c r="Q18" s="34" t="s">
        <v>5620</v>
      </c>
      <c r="R18" s="37" t="n">
        <f aca="false">P18-2*$K$2-$M$2</f>
        <v>147.177</v>
      </c>
      <c r="S18" s="38"/>
      <c r="T18" s="38"/>
      <c r="U18" s="38"/>
      <c r="V18" s="38"/>
    </row>
    <row r="19" customFormat="false" ht="15" hidden="false" customHeight="false" outlineLevel="0" collapsed="false">
      <c r="A19" s="28"/>
      <c r="B19" s="29"/>
      <c r="C19" s="34"/>
      <c r="D19" s="34" t="s">
        <v>5634</v>
      </c>
      <c r="E19" s="34" t="n">
        <v>4.4</v>
      </c>
      <c r="F19" s="35" t="n">
        <v>0.000453061770853713</v>
      </c>
      <c r="G19" s="36" t="n">
        <f aca="false">F19*0.6*1000</f>
        <v>0.271837062512228</v>
      </c>
      <c r="H19" s="34" t="s">
        <v>5619</v>
      </c>
      <c r="I19" s="34" t="s">
        <v>5153</v>
      </c>
      <c r="J19" s="34" t="n">
        <v>5</v>
      </c>
      <c r="K19" s="34" t="n">
        <v>9</v>
      </c>
      <c r="L19" s="34" t="n">
        <v>1</v>
      </c>
      <c r="M19" s="34" t="n">
        <v>2</v>
      </c>
      <c r="N19" s="34" t="n">
        <v>0</v>
      </c>
      <c r="O19" s="34" t="n">
        <v>0</v>
      </c>
      <c r="P19" s="37" t="n">
        <f aca="false">J19*$J$2+K19*$K$2+L19*$L$2+M19*$M$2+N19*$N$2+O19*$O$2</f>
        <v>115.132</v>
      </c>
      <c r="Q19" s="34" t="s">
        <v>5620</v>
      </c>
      <c r="R19" s="37" t="n">
        <f aca="false">P19-2*$K$2-$M$2</f>
        <v>97.117</v>
      </c>
      <c r="S19" s="38"/>
      <c r="T19" s="38"/>
      <c r="U19" s="38"/>
      <c r="V19" s="38"/>
    </row>
    <row r="20" customFormat="false" ht="15" hidden="false" customHeight="false" outlineLevel="0" collapsed="false">
      <c r="A20" s="28"/>
      <c r="B20" s="29"/>
      <c r="C20" s="34"/>
      <c r="D20" s="34" t="s">
        <v>5635</v>
      </c>
      <c r="E20" s="34" t="n">
        <v>3.4</v>
      </c>
      <c r="F20" s="35" t="n">
        <v>0.000390454535014585</v>
      </c>
      <c r="G20" s="36" t="n">
        <f aca="false">F20*0.6*1000</f>
        <v>0.234272721008751</v>
      </c>
      <c r="H20" s="34" t="s">
        <v>5619</v>
      </c>
      <c r="I20" s="34" t="s">
        <v>5280</v>
      </c>
      <c r="J20" s="34" t="n">
        <v>3</v>
      </c>
      <c r="K20" s="34" t="n">
        <v>7</v>
      </c>
      <c r="L20" s="34" t="n">
        <v>1</v>
      </c>
      <c r="M20" s="34" t="n">
        <v>3</v>
      </c>
      <c r="N20" s="34" t="n">
        <v>0</v>
      </c>
      <c r="O20" s="34" t="n">
        <v>0</v>
      </c>
      <c r="P20" s="37" t="n">
        <f aca="false">J20*$J$2+K20*$K$2+L20*$L$2+M20*$M$2+N20*$N$2+O20*$O$2</f>
        <v>105.093</v>
      </c>
      <c r="Q20" s="34" t="s">
        <v>5620</v>
      </c>
      <c r="R20" s="37" t="n">
        <f aca="false">P20-2*$K$2-$M$2</f>
        <v>87.078</v>
      </c>
      <c r="S20" s="38"/>
      <c r="T20" s="38"/>
      <c r="U20" s="38"/>
      <c r="V20" s="38"/>
    </row>
    <row r="21" customFormat="false" ht="15" hidden="false" customHeight="false" outlineLevel="0" collapsed="false">
      <c r="A21" s="28"/>
      <c r="B21" s="29"/>
      <c r="C21" s="34"/>
      <c r="D21" s="34" t="s">
        <v>5636</v>
      </c>
      <c r="E21" s="34" t="n">
        <v>4.4</v>
      </c>
      <c r="F21" s="35" t="n">
        <v>0.000435191137925919</v>
      </c>
      <c r="G21" s="36" t="n">
        <f aca="false">F21*0.6*1000</f>
        <v>0.261114682755551</v>
      </c>
      <c r="H21" s="34" t="s">
        <v>5619</v>
      </c>
      <c r="I21" s="34" t="s">
        <v>4706</v>
      </c>
      <c r="J21" s="34" t="n">
        <v>4</v>
      </c>
      <c r="K21" s="34" t="n">
        <v>9</v>
      </c>
      <c r="L21" s="34" t="n">
        <v>1</v>
      </c>
      <c r="M21" s="34" t="n">
        <v>3</v>
      </c>
      <c r="N21" s="34" t="n">
        <v>0</v>
      </c>
      <c r="O21" s="34" t="n">
        <v>0</v>
      </c>
      <c r="P21" s="37" t="n">
        <f aca="false">J21*$J$2+K21*$K$2+L21*$L$2+M21*$M$2+N21*$N$2+O21*$O$2</f>
        <v>119.12</v>
      </c>
      <c r="Q21" s="34" t="s">
        <v>5620</v>
      </c>
      <c r="R21" s="37" t="n">
        <f aca="false">P21-2*$K$2-$M$2</f>
        <v>101.105</v>
      </c>
      <c r="S21" s="38"/>
      <c r="T21" s="38"/>
      <c r="U21" s="38"/>
      <c r="V21" s="38"/>
    </row>
    <row r="22" customFormat="false" ht="15" hidden="false" customHeight="false" outlineLevel="0" collapsed="false">
      <c r="A22" s="28"/>
      <c r="B22" s="29"/>
      <c r="C22" s="34"/>
      <c r="D22" s="34" t="s">
        <v>5637</v>
      </c>
      <c r="E22" s="34" t="n">
        <v>0</v>
      </c>
      <c r="F22" s="35" t="n">
        <v>0</v>
      </c>
      <c r="G22" s="36" t="n">
        <f aca="false">F22*0.6*1000</f>
        <v>0</v>
      </c>
      <c r="H22" s="34" t="s">
        <v>5619</v>
      </c>
      <c r="I22" s="34" t="s">
        <v>5412</v>
      </c>
      <c r="J22" s="34" t="n">
        <v>11</v>
      </c>
      <c r="K22" s="34" t="n">
        <v>12</v>
      </c>
      <c r="L22" s="34" t="n">
        <v>2</v>
      </c>
      <c r="M22" s="34" t="n">
        <v>2</v>
      </c>
      <c r="N22" s="34" t="n">
        <v>0</v>
      </c>
      <c r="O22" s="34" t="n">
        <v>0</v>
      </c>
      <c r="P22" s="37" t="n">
        <f aca="false">J22*$J$2+K22*$K$2+L22*$L$2+M22*$M$2+N22*$N$2+O22*$O$2</f>
        <v>204.229</v>
      </c>
      <c r="Q22" s="34" t="s">
        <v>5620</v>
      </c>
      <c r="R22" s="37" t="n">
        <f aca="false">P22-2*$K$2-$M$2</f>
        <v>186.214</v>
      </c>
      <c r="S22" s="38"/>
      <c r="T22" s="38"/>
      <c r="U22" s="38"/>
      <c r="V22" s="38"/>
    </row>
    <row r="23" customFormat="false" ht="15" hidden="false" customHeight="false" outlineLevel="0" collapsed="false">
      <c r="A23" s="28"/>
      <c r="B23" s="29"/>
      <c r="C23" s="34"/>
      <c r="D23" s="34" t="s">
        <v>5638</v>
      </c>
      <c r="E23" s="34" t="n">
        <v>3.7</v>
      </c>
      <c r="F23" s="35" t="n">
        <v>0.000226749031720351</v>
      </c>
      <c r="G23" s="36" t="n">
        <f aca="false">F23*0.6*1000</f>
        <v>0.136049419032211</v>
      </c>
      <c r="H23" s="34" t="s">
        <v>5619</v>
      </c>
      <c r="I23" s="34" t="s">
        <v>5434</v>
      </c>
      <c r="J23" s="34" t="n">
        <v>9</v>
      </c>
      <c r="K23" s="34" t="n">
        <v>11</v>
      </c>
      <c r="L23" s="34" t="n">
        <v>1</v>
      </c>
      <c r="M23" s="34" t="n">
        <v>3</v>
      </c>
      <c r="N23" s="34" t="n">
        <v>0</v>
      </c>
      <c r="O23" s="34" t="n">
        <v>0</v>
      </c>
      <c r="P23" s="37" t="n">
        <f aca="false">J23*$J$2+K23*$K$2+L23*$L$2+M23*$M$2+N23*$N$2+O23*$O$2</f>
        <v>181.191</v>
      </c>
      <c r="Q23" s="34" t="s">
        <v>5620</v>
      </c>
      <c r="R23" s="37" t="n">
        <f aca="false">P23-2*$K$2-$M$2</f>
        <v>163.176</v>
      </c>
      <c r="S23" s="38"/>
      <c r="T23" s="38"/>
      <c r="U23" s="38"/>
      <c r="V23" s="38"/>
    </row>
    <row r="24" customFormat="false" ht="15.75" hidden="false" customHeight="false" outlineLevel="0" collapsed="false">
      <c r="A24" s="28"/>
      <c r="B24" s="29"/>
      <c r="C24" s="34"/>
      <c r="D24" s="34" t="s">
        <v>5639</v>
      </c>
      <c r="E24" s="34" t="n">
        <v>6.7</v>
      </c>
      <c r="F24" s="35" t="n">
        <v>0.000675859703630476</v>
      </c>
      <c r="G24" s="36" t="n">
        <f aca="false">F24*0.6*1000</f>
        <v>0.405515822178286</v>
      </c>
      <c r="H24" s="34" t="s">
        <v>5619</v>
      </c>
      <c r="I24" s="34" t="s">
        <v>5562</v>
      </c>
      <c r="J24" s="34" t="n">
        <v>5</v>
      </c>
      <c r="K24" s="34" t="n">
        <v>11</v>
      </c>
      <c r="L24" s="34" t="n">
        <v>1</v>
      </c>
      <c r="M24" s="34" t="n">
        <v>2</v>
      </c>
      <c r="N24" s="34" t="n">
        <v>0</v>
      </c>
      <c r="O24" s="34" t="n">
        <v>0</v>
      </c>
      <c r="P24" s="37" t="n">
        <f aca="false">J24*$J$2+K24*$K$2+L24*$L$2+M24*$M$2+N24*$N$2+O24*$O$2</f>
        <v>117.148</v>
      </c>
      <c r="Q24" s="34" t="s">
        <v>5620</v>
      </c>
      <c r="R24" s="37" t="n">
        <f aca="false">P24-2*$K$2-$M$2</f>
        <v>99.133</v>
      </c>
      <c r="S24" s="38"/>
      <c r="T24" s="38"/>
      <c r="U24" s="38"/>
      <c r="V24" s="38"/>
    </row>
    <row r="25" customFormat="false" ht="18.75" hidden="false" customHeight="true" outlineLevel="0" collapsed="false">
      <c r="A25" s="28"/>
      <c r="B25" s="39" t="s">
        <v>5640</v>
      </c>
      <c r="C25" s="40"/>
      <c r="D25" s="41"/>
      <c r="E25" s="42" t="s">
        <v>5641</v>
      </c>
      <c r="F25" s="43"/>
      <c r="G25" s="44" t="n">
        <f aca="false">SUM(G26:G29)</f>
        <v>0.0747967758971953</v>
      </c>
      <c r="H25" s="41"/>
      <c r="I25" s="41"/>
      <c r="J25" s="41"/>
      <c r="K25" s="41"/>
      <c r="L25" s="41"/>
      <c r="M25" s="41"/>
      <c r="N25" s="41"/>
      <c r="O25" s="41"/>
      <c r="P25" s="45"/>
      <c r="Q25" s="41"/>
      <c r="R25" s="41"/>
      <c r="S25" s="46" t="s">
        <v>5642</v>
      </c>
      <c r="T25" s="47"/>
      <c r="U25" s="46" t="s">
        <v>5643</v>
      </c>
      <c r="V25" s="46" t="s">
        <v>5644</v>
      </c>
      <c r="W25" s="48"/>
    </row>
    <row r="26" customFormat="false" ht="15" hidden="false" customHeight="false" outlineLevel="0" collapsed="false">
      <c r="A26" s="28"/>
      <c r="B26" s="39"/>
      <c r="C26" s="49" t="s">
        <v>5645</v>
      </c>
      <c r="D26" s="49" t="s">
        <v>5646</v>
      </c>
      <c r="E26" s="50" t="n">
        <v>0.2067</v>
      </c>
      <c r="F26" s="51"/>
      <c r="G26" s="52" t="n">
        <f aca="false">V26/R26*1000</f>
        <v>0.0154635862952093</v>
      </c>
      <c r="H26" s="49" t="s">
        <v>5640</v>
      </c>
      <c r="I26" s="49" t="s">
        <v>4145</v>
      </c>
      <c r="J26" s="49" t="n">
        <v>10</v>
      </c>
      <c r="K26" s="49" t="n">
        <v>12</v>
      </c>
      <c r="L26" s="49" t="n">
        <v>5</v>
      </c>
      <c r="M26" s="49" t="n">
        <v>12</v>
      </c>
      <c r="N26" s="49" t="n">
        <v>3</v>
      </c>
      <c r="O26" s="49" t="n">
        <v>0</v>
      </c>
      <c r="P26" s="53" t="n">
        <f aca="false">J26*$J$2+K26*$K$2+L26*$L$2+M26*$M$2+N26*$N$2+O26*$O$2</f>
        <v>487.151</v>
      </c>
      <c r="Q26" s="49" t="s">
        <v>5647</v>
      </c>
      <c r="R26" s="54" t="n">
        <f aca="false">P26-($K$2*1+$M$2*7+$N$2*2)</f>
        <v>312.202</v>
      </c>
      <c r="S26" s="54" t="n">
        <f aca="false">R26*E26</f>
        <v>64.5321534</v>
      </c>
      <c r="T26" s="54" t="n">
        <f aca="false">SUM(S26:S29)</f>
        <v>307.4383852</v>
      </c>
      <c r="U26" s="50" t="n">
        <f aca="false">S26/$T$26</f>
        <v>0.209902720371171</v>
      </c>
      <c r="V26" s="55" t="n">
        <f aca="false">U26*0.023</f>
        <v>0.00482776256853694</v>
      </c>
    </row>
    <row r="27" customFormat="false" ht="15" hidden="false" customHeight="false" outlineLevel="0" collapsed="false">
      <c r="A27" s="28"/>
      <c r="B27" s="39"/>
      <c r="C27" s="49"/>
      <c r="D27" s="49" t="s">
        <v>5648</v>
      </c>
      <c r="E27" s="50" t="n">
        <v>0.2963</v>
      </c>
      <c r="F27" s="51"/>
      <c r="G27" s="52" t="n">
        <f aca="false">V27/R27*1000</f>
        <v>0.0221667180419474</v>
      </c>
      <c r="H27" s="49" t="s">
        <v>5640</v>
      </c>
      <c r="I27" s="49" t="s">
        <v>4174</v>
      </c>
      <c r="J27" s="49" t="n">
        <v>9</v>
      </c>
      <c r="K27" s="49" t="n">
        <v>10</v>
      </c>
      <c r="L27" s="49" t="n">
        <v>3</v>
      </c>
      <c r="M27" s="49" t="n">
        <v>13</v>
      </c>
      <c r="N27" s="49" t="n">
        <v>3</v>
      </c>
      <c r="O27" s="49" t="n">
        <v>0</v>
      </c>
      <c r="P27" s="53" t="n">
        <f aca="false">J27*$J$2+K27*$K$2+L27*$L$2+M27*$M$2+N27*$N$2+O27*$O$2</f>
        <v>461.109</v>
      </c>
      <c r="Q27" s="49" t="s">
        <v>5647</v>
      </c>
      <c r="R27" s="54" t="n">
        <f aca="false">P27-($K$2*1+$M$2*7+$N$2*2)</f>
        <v>286.16</v>
      </c>
      <c r="S27" s="54" t="n">
        <f aca="false">R27*E27</f>
        <v>84.789208</v>
      </c>
      <c r="T27" s="49"/>
      <c r="U27" s="50" t="n">
        <f aca="false">S27/$T$26</f>
        <v>0.275792523255811</v>
      </c>
      <c r="V27" s="55" t="n">
        <f aca="false">U27*0.023</f>
        <v>0.00634322803488366</v>
      </c>
    </row>
    <row r="28" customFormat="false" ht="15" hidden="false" customHeight="false" outlineLevel="0" collapsed="false">
      <c r="A28" s="28"/>
      <c r="B28" s="39"/>
      <c r="C28" s="49"/>
      <c r="D28" s="49" t="s">
        <v>5649</v>
      </c>
      <c r="E28" s="50" t="n">
        <v>0.2913</v>
      </c>
      <c r="F28" s="51"/>
      <c r="G28" s="52" t="n">
        <f aca="false">V28/R28*1000</f>
        <v>0.0217926593507231</v>
      </c>
      <c r="H28" s="49" t="s">
        <v>5640</v>
      </c>
      <c r="I28" s="49" t="s">
        <v>3940</v>
      </c>
      <c r="J28" s="49" t="n">
        <v>10</v>
      </c>
      <c r="K28" s="49" t="n">
        <v>12</v>
      </c>
      <c r="L28" s="49" t="n">
        <v>5</v>
      </c>
      <c r="M28" s="49" t="n">
        <v>13</v>
      </c>
      <c r="N28" s="49" t="n">
        <v>3</v>
      </c>
      <c r="O28" s="49" t="n">
        <v>0</v>
      </c>
      <c r="P28" s="53" t="n">
        <f aca="false">J28*$J$2+K28*$K$2+L28*$L$2+M28*$M$2+N28*$N$2+O28*$O$2</f>
        <v>503.15</v>
      </c>
      <c r="Q28" s="49" t="s">
        <v>5647</v>
      </c>
      <c r="R28" s="54" t="n">
        <f aca="false">P28-($K$2*1+$M$2*7+$N$2*2)</f>
        <v>328.201</v>
      </c>
      <c r="S28" s="54" t="n">
        <f aca="false">R28*E28</f>
        <v>95.6049513</v>
      </c>
      <c r="T28" s="49"/>
      <c r="U28" s="50" t="n">
        <f aca="false">S28/$T$26</f>
        <v>0.310972721372464</v>
      </c>
      <c r="V28" s="55" t="n">
        <f aca="false">U28*0.023</f>
        <v>0.00715237259156668</v>
      </c>
    </row>
    <row r="29" customFormat="false" ht="15.75" hidden="false" customHeight="false" outlineLevel="0" collapsed="false">
      <c r="A29" s="28"/>
      <c r="B29" s="39"/>
      <c r="C29" s="49"/>
      <c r="D29" s="49" t="s">
        <v>5650</v>
      </c>
      <c r="E29" s="50" t="n">
        <v>0.2055</v>
      </c>
      <c r="F29" s="51"/>
      <c r="G29" s="52" t="n">
        <f aca="false">V29/R29*1000</f>
        <v>0.0153738122093155</v>
      </c>
      <c r="H29" s="49" t="s">
        <v>5640</v>
      </c>
      <c r="I29" s="49" t="s">
        <v>4314</v>
      </c>
      <c r="J29" s="49" t="n">
        <v>10</v>
      </c>
      <c r="K29" s="49" t="n">
        <v>14</v>
      </c>
      <c r="L29" s="49" t="n">
        <v>2</v>
      </c>
      <c r="M29" s="49" t="n">
        <v>14</v>
      </c>
      <c r="N29" s="49" t="n">
        <v>3</v>
      </c>
      <c r="O29" s="49" t="n">
        <v>0</v>
      </c>
      <c r="P29" s="56" t="n">
        <f aca="false">J29*$J$2+K29*$K$2+L29*$L$2+M29*$M$2+N29*$N$2+O29*$O$2</f>
        <v>479.144</v>
      </c>
      <c r="Q29" s="49" t="s">
        <v>5647</v>
      </c>
      <c r="R29" s="54" t="n">
        <f aca="false">P29-($K$2*1+$M$2*7+$N$2*2)</f>
        <v>304.195</v>
      </c>
      <c r="S29" s="54" t="n">
        <f aca="false">R29*E29</f>
        <v>62.5120725</v>
      </c>
      <c r="T29" s="49"/>
      <c r="U29" s="50" t="n">
        <f aca="false">S29/$T$26</f>
        <v>0.203332035000553</v>
      </c>
      <c r="V29" s="55" t="n">
        <f aca="false">U29*0.023</f>
        <v>0.00467663680501273</v>
      </c>
    </row>
    <row r="30" customFormat="false" ht="15" hidden="false" customHeight="false" outlineLevel="0" collapsed="false">
      <c r="A30" s="28"/>
      <c r="B30" s="57" t="s">
        <v>5651</v>
      </c>
      <c r="C30" s="58"/>
      <c r="D30" s="59"/>
      <c r="E30" s="60" t="s">
        <v>5641</v>
      </c>
      <c r="F30" s="59"/>
      <c r="G30" s="61" t="n">
        <f aca="false">SUM(G31:G34)</f>
        <v>0.43583243699723</v>
      </c>
      <c r="H30" s="59"/>
      <c r="I30" s="59"/>
      <c r="J30" s="59"/>
      <c r="K30" s="59"/>
      <c r="L30" s="59"/>
      <c r="M30" s="59"/>
      <c r="N30" s="59"/>
      <c r="O30" s="59"/>
      <c r="P30" s="62"/>
      <c r="Q30" s="59"/>
      <c r="R30" s="63"/>
      <c r="S30" s="64" t="s">
        <v>5652</v>
      </c>
      <c r="T30" s="58"/>
      <c r="U30" s="65" t="s">
        <v>5653</v>
      </c>
      <c r="V30" s="66" t="s">
        <v>5654</v>
      </c>
    </row>
    <row r="31" customFormat="false" ht="15" hidden="false" customHeight="true" outlineLevel="0" collapsed="false">
      <c r="A31" s="28"/>
      <c r="B31" s="57"/>
      <c r="C31" s="67" t="s">
        <v>5655</v>
      </c>
      <c r="D31" s="67" t="s">
        <v>5656</v>
      </c>
      <c r="E31" s="68" t="n">
        <v>0.292</v>
      </c>
      <c r="F31" s="69"/>
      <c r="G31" s="70" t="n">
        <f aca="false">V31/R31*1000</f>
        <v>0.127263071603191</v>
      </c>
      <c r="H31" s="67" t="s">
        <v>5651</v>
      </c>
      <c r="I31" s="67" t="s">
        <v>4090</v>
      </c>
      <c r="J31" s="67" t="n">
        <v>9</v>
      </c>
      <c r="K31" s="67" t="n">
        <v>12</v>
      </c>
      <c r="L31" s="67" t="n">
        <v>3</v>
      </c>
      <c r="M31" s="67" t="n">
        <v>14</v>
      </c>
      <c r="N31" s="67" t="n">
        <v>3</v>
      </c>
      <c r="O31" s="71" t="n">
        <v>0</v>
      </c>
      <c r="P31" s="37" t="n">
        <f aca="false">J31*$J$2+K31*$K$2+L31*$L$2+M31*$M$2+N31*$N$2+O31*$O$2</f>
        <v>479.124</v>
      </c>
      <c r="Q31" s="71" t="s">
        <v>5647</v>
      </c>
      <c r="R31" s="62" t="n">
        <f aca="false">P31-($K$2*1+$M$2*7+$N$2*2)</f>
        <v>304.175</v>
      </c>
      <c r="S31" s="62" t="n">
        <f aca="false">R31*E31</f>
        <v>88.8191</v>
      </c>
      <c r="T31" s="62" t="n">
        <f aca="false">SUM(S31:S34)</f>
        <v>321.22437</v>
      </c>
      <c r="U31" s="68" t="n">
        <f aca="false">S31/$T$31</f>
        <v>0.276501748606434</v>
      </c>
      <c r="V31" s="72" t="n">
        <f aca="false">U31*0.14</f>
        <v>0.0387102448049007</v>
      </c>
    </row>
    <row r="32" customFormat="false" ht="15" hidden="false" customHeight="false" outlineLevel="0" collapsed="false">
      <c r="A32" s="28"/>
      <c r="B32" s="57"/>
      <c r="C32" s="67"/>
      <c r="D32" s="67" t="s">
        <v>5657</v>
      </c>
      <c r="E32" s="68" t="n">
        <v>0.302</v>
      </c>
      <c r="F32" s="69"/>
      <c r="G32" s="70" t="n">
        <f aca="false">V32/R32*1000</f>
        <v>0.131621395973164</v>
      </c>
      <c r="H32" s="67" t="s">
        <v>5651</v>
      </c>
      <c r="I32" s="67" t="s">
        <v>4611</v>
      </c>
      <c r="J32" s="67" t="n">
        <v>10</v>
      </c>
      <c r="K32" s="67" t="n">
        <v>12</v>
      </c>
      <c r="L32" s="67" t="n">
        <v>5</v>
      </c>
      <c r="M32" s="67" t="n">
        <v>14</v>
      </c>
      <c r="N32" s="67" t="n">
        <v>3</v>
      </c>
      <c r="O32" s="71" t="n">
        <v>0</v>
      </c>
      <c r="P32" s="37" t="n">
        <f aca="false">J32*$J$2+K32*$K$2+L32*$L$2+M32*$M$2+N32*$N$2+O32*$O$2</f>
        <v>519.149</v>
      </c>
      <c r="Q32" s="71" t="s">
        <v>5647</v>
      </c>
      <c r="R32" s="62" t="n">
        <f aca="false">P32-($K$2*1+$M$2*7+$N$2*2)</f>
        <v>344.2</v>
      </c>
      <c r="S32" s="62" t="n">
        <f aca="false">R32*E32</f>
        <v>103.9484</v>
      </c>
      <c r="T32" s="71"/>
      <c r="U32" s="68" t="n">
        <f aca="false">S32/$T$31</f>
        <v>0.323600603528306</v>
      </c>
      <c r="V32" s="72" t="n">
        <f aca="false">U32*0.14</f>
        <v>0.0453040844939629</v>
      </c>
    </row>
    <row r="33" customFormat="false" ht="15" hidden="false" customHeight="false" outlineLevel="0" collapsed="false">
      <c r="A33" s="28"/>
      <c r="B33" s="57"/>
      <c r="C33" s="67"/>
      <c r="D33" s="67" t="s">
        <v>5658</v>
      </c>
      <c r="E33" s="68" t="n">
        <v>0.208</v>
      </c>
      <c r="F33" s="69"/>
      <c r="G33" s="70" t="n">
        <f aca="false">V33/R33*1000</f>
        <v>0.0906531468954239</v>
      </c>
      <c r="H33" s="67" t="s">
        <v>5651</v>
      </c>
      <c r="I33" s="67" t="s">
        <v>5551</v>
      </c>
      <c r="J33" s="67" t="n">
        <v>9</v>
      </c>
      <c r="K33" s="67" t="n">
        <v>11</v>
      </c>
      <c r="L33" s="67" t="n">
        <v>2</v>
      </c>
      <c r="M33" s="67" t="n">
        <v>15</v>
      </c>
      <c r="N33" s="67" t="n">
        <v>3</v>
      </c>
      <c r="O33" s="71" t="n">
        <v>0</v>
      </c>
      <c r="P33" s="37" t="n">
        <f aca="false">J33*$J$2+K33*$K$2+L33*$L$2+M33*$M$2+N33*$N$2+O33*$O$2</f>
        <v>480.108</v>
      </c>
      <c r="Q33" s="71" t="s">
        <v>5647</v>
      </c>
      <c r="R33" s="62" t="n">
        <f aca="false">P33-($K$2*1+$M$2*7+$N$2*2)</f>
        <v>305.159</v>
      </c>
      <c r="S33" s="62" t="n">
        <f aca="false">R33*E33</f>
        <v>63.473072</v>
      </c>
      <c r="T33" s="71"/>
      <c r="U33" s="68" t="n">
        <f aca="false">S33/$T$31</f>
        <v>0.197597311810433</v>
      </c>
      <c r="V33" s="72" t="n">
        <f aca="false">U33*0.14</f>
        <v>0.0276636236534607</v>
      </c>
    </row>
    <row r="34" customFormat="false" ht="15.75" hidden="false" customHeight="false" outlineLevel="0" collapsed="false">
      <c r="A34" s="28"/>
      <c r="B34" s="57"/>
      <c r="C34" s="67"/>
      <c r="D34" s="67" t="s">
        <v>5659</v>
      </c>
      <c r="E34" s="68" t="n">
        <v>0.198</v>
      </c>
      <c r="F34" s="69"/>
      <c r="G34" s="70" t="n">
        <f aca="false">V34/R34*1000</f>
        <v>0.0862948225254516</v>
      </c>
      <c r="H34" s="67" t="s">
        <v>5651</v>
      </c>
      <c r="I34" s="67" t="s">
        <v>3940</v>
      </c>
      <c r="J34" s="67" t="n">
        <v>10</v>
      </c>
      <c r="K34" s="67" t="n">
        <v>12</v>
      </c>
      <c r="L34" s="67" t="n">
        <v>5</v>
      </c>
      <c r="M34" s="67" t="n">
        <v>13</v>
      </c>
      <c r="N34" s="67" t="n">
        <v>3</v>
      </c>
      <c r="O34" s="71" t="n">
        <v>0</v>
      </c>
      <c r="P34" s="37" t="n">
        <f aca="false">J34*$J$2+K34*$K$2+L34*$L$2+M34*$M$2+N34*$N$2+O34*$O$2</f>
        <v>503.15</v>
      </c>
      <c r="Q34" s="71" t="s">
        <v>5647</v>
      </c>
      <c r="R34" s="62" t="n">
        <f aca="false">P34-($K$2*1+$M$2*7+$N$2*2)</f>
        <v>328.201</v>
      </c>
      <c r="S34" s="62" t="n">
        <f aca="false">R34*E34</f>
        <v>64.983798</v>
      </c>
      <c r="T34" s="71"/>
      <c r="U34" s="68" t="n">
        <f aca="false">S34/$T$31</f>
        <v>0.202300336054827</v>
      </c>
      <c r="V34" s="72" t="n">
        <f aca="false">U34*0.14</f>
        <v>0.0283220470476757</v>
      </c>
    </row>
    <row r="35" customFormat="false" ht="15" hidden="false" customHeight="false" outlineLevel="0" collapsed="false">
      <c r="A35" s="28"/>
      <c r="B35" s="73" t="s">
        <v>4568</v>
      </c>
      <c r="C35" s="40"/>
      <c r="D35" s="40"/>
      <c r="E35" s="40"/>
      <c r="F35" s="40"/>
      <c r="G35" s="74"/>
      <c r="H35" s="40"/>
      <c r="I35" s="40"/>
      <c r="J35" s="40"/>
      <c r="K35" s="40"/>
      <c r="L35" s="40"/>
      <c r="M35" s="40"/>
      <c r="N35" s="40"/>
      <c r="O35" s="40"/>
      <c r="P35" s="75"/>
      <c r="Q35" s="40"/>
      <c r="R35" s="75"/>
      <c r="S35" s="40"/>
      <c r="T35" s="40"/>
      <c r="U35" s="40"/>
      <c r="V35" s="40"/>
    </row>
    <row r="36" customFormat="false" ht="15.75" hidden="false" customHeight="false" outlineLevel="0" collapsed="false">
      <c r="A36" s="28"/>
      <c r="B36" s="73"/>
      <c r="C36" s="76" t="s">
        <v>5660</v>
      </c>
      <c r="D36" s="76" t="s">
        <v>5661</v>
      </c>
      <c r="E36" s="76"/>
      <c r="F36" s="77"/>
      <c r="G36" s="78" t="n">
        <f aca="false">0.025/R36*1000</f>
        <v>0.154186788042506</v>
      </c>
      <c r="H36" s="76" t="s">
        <v>5662</v>
      </c>
      <c r="I36" s="76" t="s">
        <v>4574</v>
      </c>
      <c r="J36" s="76" t="n">
        <v>6</v>
      </c>
      <c r="K36" s="76" t="n">
        <v>10</v>
      </c>
      <c r="L36" s="76" t="n">
        <v>0</v>
      </c>
      <c r="M36" s="79" t="n">
        <v>5</v>
      </c>
      <c r="N36" s="79" t="n">
        <v>0</v>
      </c>
      <c r="O36" s="79" t="n">
        <v>0</v>
      </c>
      <c r="P36" s="56" t="n">
        <f aca="false">J36*$J$2+K36*$K$2+L36*$L$2+M36*$M$2+N36*$N$2+O36*$O$2</f>
        <v>162.141</v>
      </c>
      <c r="Q36" s="79" t="s">
        <v>5663</v>
      </c>
      <c r="R36" s="80" t="n">
        <f aca="false">P36</f>
        <v>162.141</v>
      </c>
      <c r="S36" s="81"/>
      <c r="T36" s="81"/>
      <c r="U36" s="81"/>
      <c r="V36" s="81"/>
    </row>
    <row r="37" customFormat="false" ht="15" hidden="false" customHeight="true" outlineLevel="0" collapsed="false">
      <c r="A37" s="28"/>
      <c r="B37" s="82" t="s">
        <v>5664</v>
      </c>
      <c r="C37" s="83"/>
      <c r="D37" s="83"/>
      <c r="E37" s="83"/>
      <c r="F37" s="84"/>
      <c r="G37" s="85"/>
      <c r="H37" s="83"/>
      <c r="I37" s="83"/>
      <c r="J37" s="83"/>
      <c r="K37" s="83"/>
      <c r="L37" s="83"/>
      <c r="M37" s="83"/>
      <c r="N37" s="83"/>
      <c r="O37" s="83"/>
      <c r="P37" s="37"/>
      <c r="Q37" s="83"/>
      <c r="R37" s="37"/>
      <c r="S37" s="83"/>
      <c r="T37" s="83"/>
      <c r="U37" s="83"/>
      <c r="V37" s="83"/>
    </row>
    <row r="38" customFormat="false" ht="15.75" hidden="false" customHeight="false" outlineLevel="0" collapsed="false">
      <c r="A38" s="28"/>
      <c r="B38" s="82"/>
      <c r="C38" s="86" t="s">
        <v>5660</v>
      </c>
      <c r="D38" s="87" t="s">
        <v>4881</v>
      </c>
      <c r="E38" s="87"/>
      <c r="F38" s="87"/>
      <c r="G38" s="88" t="n">
        <f aca="false">0.025/R38*1000</f>
        <v>0.0132076109650643</v>
      </c>
      <c r="H38" s="87" t="s">
        <v>5665</v>
      </c>
      <c r="I38" s="87" t="s">
        <v>4882</v>
      </c>
      <c r="J38" s="87" t="n">
        <v>77</v>
      </c>
      <c r="K38" s="87" t="n">
        <v>117</v>
      </c>
      <c r="L38" s="87" t="n">
        <v>15</v>
      </c>
      <c r="M38" s="89" t="n">
        <v>40</v>
      </c>
      <c r="N38" s="89" t="n">
        <v>0</v>
      </c>
      <c r="O38" s="89" t="n">
        <v>0</v>
      </c>
      <c r="P38" s="37" t="n">
        <f aca="false">J38*$J$2+K38*$K$2+L38*$L$2+M38*$M$2+N38*$N$2+O38*$O$2</f>
        <v>1892.848</v>
      </c>
      <c r="Q38" s="89" t="s">
        <v>5663</v>
      </c>
      <c r="R38" s="90" t="n">
        <f aca="false">P38</f>
        <v>1892.848</v>
      </c>
      <c r="S38" s="91"/>
      <c r="T38" s="91"/>
      <c r="U38" s="91"/>
      <c r="V38" s="91"/>
    </row>
    <row r="39" customFormat="false" ht="15" hidden="false" customHeight="false" outlineLevel="0" collapsed="false">
      <c r="A39" s="28"/>
      <c r="B39" s="92" t="s">
        <v>1926</v>
      </c>
      <c r="C39" s="19"/>
      <c r="D39" s="19"/>
      <c r="E39" s="19"/>
      <c r="F39" s="19"/>
      <c r="G39" s="93"/>
      <c r="H39" s="19"/>
      <c r="I39" s="19"/>
      <c r="J39" s="19"/>
      <c r="K39" s="19"/>
      <c r="L39" s="19"/>
      <c r="M39" s="19"/>
      <c r="N39" s="19"/>
      <c r="O39" s="19"/>
      <c r="P39" s="94"/>
      <c r="Q39" s="75"/>
      <c r="R39" s="94"/>
      <c r="S39" s="19"/>
      <c r="T39" s="19"/>
      <c r="U39" s="19"/>
      <c r="V39" s="19"/>
    </row>
    <row r="40" customFormat="false" ht="15.75" hidden="false" customHeight="false" outlineLevel="0" collapsed="false">
      <c r="A40" s="28"/>
      <c r="B40" s="92"/>
      <c r="C40" s="95" t="s">
        <v>5666</v>
      </c>
      <c r="D40" s="96" t="s">
        <v>5667</v>
      </c>
      <c r="E40" s="96"/>
      <c r="F40" s="96"/>
      <c r="G40" s="97" t="n">
        <f aca="false">0.034/R40*1000</f>
        <v>0.0242904509236444</v>
      </c>
      <c r="H40" s="96" t="s">
        <v>1926</v>
      </c>
      <c r="I40" s="96" t="s">
        <v>4787</v>
      </c>
      <c r="J40" s="96" t="n">
        <v>68</v>
      </c>
      <c r="K40" s="96" t="n">
        <v>128</v>
      </c>
      <c r="L40" s="96" t="n">
        <v>4</v>
      </c>
      <c r="M40" s="96" t="n">
        <v>21</v>
      </c>
      <c r="N40" s="96" t="n">
        <v>2</v>
      </c>
      <c r="O40" s="96" t="n">
        <v>0</v>
      </c>
      <c r="P40" s="56" t="n">
        <f aca="false">J40*$J$2+K40*$K$2+L40*$L$2+M40*$M$2+N40*$N$2+O40*$O$2</f>
        <v>1399.727</v>
      </c>
      <c r="Q40" s="96" t="s">
        <v>5663</v>
      </c>
      <c r="R40" s="98" t="n">
        <f aca="false">P40</f>
        <v>1399.727</v>
      </c>
      <c r="S40" s="99"/>
      <c r="T40" s="99"/>
      <c r="U40" s="99"/>
      <c r="V40" s="99"/>
    </row>
    <row r="41" customFormat="false" ht="15" hidden="false" customHeight="true" outlineLevel="0" collapsed="false">
      <c r="A41" s="28"/>
      <c r="B41" s="100" t="s">
        <v>5668</v>
      </c>
      <c r="C41" s="31"/>
      <c r="D41" s="31"/>
      <c r="E41" s="31"/>
      <c r="F41" s="101"/>
      <c r="G41" s="102"/>
      <c r="H41" s="31"/>
      <c r="I41" s="31"/>
      <c r="J41" s="31"/>
      <c r="K41" s="31"/>
      <c r="L41" s="31"/>
      <c r="M41" s="31"/>
      <c r="N41" s="31"/>
      <c r="O41" s="31"/>
      <c r="P41" s="103"/>
      <c r="Q41" s="31"/>
      <c r="R41" s="103"/>
      <c r="S41" s="31"/>
      <c r="T41" s="31"/>
      <c r="U41" s="31"/>
      <c r="V41" s="31"/>
    </row>
    <row r="42" customFormat="false" ht="15.75" hidden="false" customHeight="false" outlineLevel="0" collapsed="false">
      <c r="A42" s="28"/>
      <c r="B42" s="100"/>
      <c r="C42" s="86" t="s">
        <v>5669</v>
      </c>
      <c r="D42" s="87" t="s">
        <v>5670</v>
      </c>
      <c r="E42" s="87"/>
      <c r="F42" s="104"/>
      <c r="G42" s="88" t="n">
        <f aca="false">0.093*R42/1000</f>
        <v>0.06726242856</v>
      </c>
      <c r="H42" s="87"/>
      <c r="I42" s="87" t="s">
        <v>5671</v>
      </c>
      <c r="J42" s="87" t="n">
        <v>38.8</v>
      </c>
      <c r="K42" s="87" t="n">
        <v>74.5</v>
      </c>
      <c r="L42" s="87" t="n">
        <v>0.58</v>
      </c>
      <c r="M42" s="87" t="n">
        <v>8.94</v>
      </c>
      <c r="N42" s="87" t="n">
        <v>1</v>
      </c>
      <c r="O42" s="87" t="n">
        <v>0</v>
      </c>
      <c r="P42" s="105" t="n">
        <f aca="false">J42*$J$2+K42*$K$2+L42*$L$2+M42*$M$2+N42*$N$2+O42*$O$2</f>
        <v>723.25192</v>
      </c>
      <c r="Q42" s="89" t="s">
        <v>5663</v>
      </c>
      <c r="R42" s="90" t="n">
        <f aca="false">P42</f>
        <v>723.25192</v>
      </c>
      <c r="S42" s="106"/>
      <c r="T42" s="106"/>
      <c r="U42" s="106"/>
      <c r="V42" s="106"/>
    </row>
    <row r="43" customFormat="false" ht="15" hidden="false" customHeight="false" outlineLevel="0" collapsed="false">
      <c r="A43" s="28"/>
      <c r="B43" s="107" t="s">
        <v>5672</v>
      </c>
      <c r="C43" s="108"/>
      <c r="D43" s="108"/>
      <c r="E43" s="109" t="s">
        <v>5673</v>
      </c>
      <c r="F43" s="108"/>
      <c r="G43" s="110" t="n">
        <f aca="false">SUM(G44:G53)</f>
        <v>0.776812859268499</v>
      </c>
      <c r="H43" s="108"/>
      <c r="I43" s="108"/>
      <c r="J43" s="108"/>
      <c r="K43" s="108"/>
      <c r="L43" s="108"/>
      <c r="M43" s="108"/>
      <c r="N43" s="108"/>
      <c r="O43" s="108"/>
      <c r="P43" s="22"/>
      <c r="Q43" s="108"/>
      <c r="R43" s="22"/>
      <c r="S43" s="108"/>
      <c r="T43" s="108"/>
      <c r="U43" s="108"/>
      <c r="V43" s="108"/>
    </row>
    <row r="44" customFormat="false" ht="15" hidden="false" customHeight="true" outlineLevel="0" collapsed="false">
      <c r="A44" s="28"/>
      <c r="B44" s="107"/>
      <c r="C44" s="111" t="s">
        <v>5674</v>
      </c>
      <c r="D44" s="49" t="s">
        <v>5675</v>
      </c>
      <c r="E44" s="49" t="n">
        <v>0.17</v>
      </c>
      <c r="F44" s="49"/>
      <c r="G44" s="112" t="n">
        <f aca="false">E44*1000/(100*R44)</f>
        <v>0.0436303533801975</v>
      </c>
      <c r="H44" s="49"/>
      <c r="I44" s="49" t="s">
        <v>4760</v>
      </c>
      <c r="J44" s="49"/>
      <c r="K44" s="49"/>
      <c r="L44" s="49"/>
      <c r="M44" s="49"/>
      <c r="N44" s="49"/>
      <c r="O44" s="49"/>
      <c r="P44" s="54" t="n">
        <v>38.9637</v>
      </c>
      <c r="Q44" s="49" t="s">
        <v>5663</v>
      </c>
      <c r="R44" s="54" t="n">
        <f aca="false">P44</f>
        <v>38.9637</v>
      </c>
      <c r="S44" s="108"/>
      <c r="T44" s="108"/>
      <c r="U44" s="108"/>
      <c r="V44" s="108"/>
    </row>
    <row r="45" customFormat="false" ht="15" hidden="false" customHeight="false" outlineLevel="0" collapsed="false">
      <c r="A45" s="28"/>
      <c r="B45" s="107"/>
      <c r="C45" s="49"/>
      <c r="D45" s="49" t="s">
        <v>5676</v>
      </c>
      <c r="E45" s="49" t="n">
        <v>0.33</v>
      </c>
      <c r="F45" s="49"/>
      <c r="G45" s="112" t="n">
        <f aca="false">E45*1000/(100*R45)</f>
        <v>0.143540669856459</v>
      </c>
      <c r="H45" s="49"/>
      <c r="I45" s="49" t="s">
        <v>4895</v>
      </c>
      <c r="J45" s="49"/>
      <c r="K45" s="49"/>
      <c r="L45" s="49"/>
      <c r="M45" s="49"/>
      <c r="N45" s="49"/>
      <c r="O45" s="49"/>
      <c r="P45" s="54" t="n">
        <v>22.99</v>
      </c>
      <c r="Q45" s="49" t="s">
        <v>5663</v>
      </c>
      <c r="R45" s="54" t="n">
        <f aca="false">P45</f>
        <v>22.99</v>
      </c>
      <c r="S45" s="108"/>
      <c r="T45" s="108"/>
      <c r="U45" s="108"/>
      <c r="V45" s="108"/>
    </row>
    <row r="46" customFormat="false" ht="15" hidden="false" customHeight="false" outlineLevel="0" collapsed="false">
      <c r="A46" s="28"/>
      <c r="B46" s="107"/>
      <c r="C46" s="49"/>
      <c r="D46" s="49" t="s">
        <v>5677</v>
      </c>
      <c r="E46" s="49" t="n">
        <v>0.58</v>
      </c>
      <c r="F46" s="49"/>
      <c r="G46" s="112" t="n">
        <f aca="false">E46*1000/(100*R46)</f>
        <v>0.241817802793413</v>
      </c>
      <c r="H46" s="49"/>
      <c r="I46" s="49" t="s">
        <v>4845</v>
      </c>
      <c r="J46" s="49"/>
      <c r="K46" s="49"/>
      <c r="L46" s="49"/>
      <c r="M46" s="49"/>
      <c r="N46" s="49"/>
      <c r="O46" s="49"/>
      <c r="P46" s="54" t="n">
        <v>23.985</v>
      </c>
      <c r="Q46" s="49" t="s">
        <v>5663</v>
      </c>
      <c r="R46" s="54" t="n">
        <f aca="false">P46</f>
        <v>23.985</v>
      </c>
      <c r="S46" s="108"/>
      <c r="T46" s="108"/>
      <c r="U46" s="108"/>
      <c r="V46" s="108"/>
    </row>
    <row r="47" customFormat="false" ht="15" hidden="false" customHeight="false" outlineLevel="0" collapsed="false">
      <c r="A47" s="28"/>
      <c r="B47" s="107"/>
      <c r="C47" s="49"/>
      <c r="D47" s="49" t="s">
        <v>5678</v>
      </c>
      <c r="E47" s="49" t="n">
        <v>0.35</v>
      </c>
      <c r="F47" s="49"/>
      <c r="G47" s="52" t="n">
        <f aca="false">E47*1000/(100*R47)</f>
        <v>0.087581889066277</v>
      </c>
      <c r="H47" s="49"/>
      <c r="I47" s="49" t="s">
        <v>3986</v>
      </c>
      <c r="J47" s="49"/>
      <c r="K47" s="49"/>
      <c r="L47" s="49"/>
      <c r="M47" s="49"/>
      <c r="N47" s="49"/>
      <c r="O47" s="49"/>
      <c r="P47" s="54" t="n">
        <v>39.9626</v>
      </c>
      <c r="Q47" s="49" t="s">
        <v>5663</v>
      </c>
      <c r="R47" s="54" t="n">
        <f aca="false">P47</f>
        <v>39.9626</v>
      </c>
      <c r="S47" s="108"/>
      <c r="T47" s="108"/>
      <c r="U47" s="108"/>
      <c r="V47" s="108"/>
    </row>
    <row r="48" customFormat="false" ht="15" hidden="false" customHeight="false" outlineLevel="0" collapsed="false">
      <c r="A48" s="28"/>
      <c r="B48" s="107"/>
      <c r="C48" s="49"/>
      <c r="D48" s="49" t="s">
        <v>5679</v>
      </c>
      <c r="E48" s="49" t="n">
        <v>0.375</v>
      </c>
      <c r="F48" s="49"/>
      <c r="G48" s="52" t="n">
        <f aca="false">E48*1000/(100*R48)</f>
        <v>0.0670422222977068</v>
      </c>
      <c r="H48" s="49"/>
      <c r="I48" s="49" t="s">
        <v>4386</v>
      </c>
      <c r="J48" s="49"/>
      <c r="K48" s="49"/>
      <c r="L48" s="49"/>
      <c r="M48" s="49"/>
      <c r="N48" s="49"/>
      <c r="O48" s="49"/>
      <c r="P48" s="54" t="n">
        <v>55.9349</v>
      </c>
      <c r="Q48" s="49" t="s">
        <v>5663</v>
      </c>
      <c r="R48" s="54" t="n">
        <f aca="false">P48</f>
        <v>55.9349</v>
      </c>
      <c r="S48" s="19"/>
      <c r="T48" s="19"/>
      <c r="U48" s="19"/>
      <c r="V48" s="19"/>
    </row>
    <row r="49" customFormat="false" ht="15" hidden="false" customHeight="false" outlineLevel="0" collapsed="false">
      <c r="A49" s="28"/>
      <c r="B49" s="107"/>
      <c r="C49" s="49"/>
      <c r="D49" s="49" t="s">
        <v>5680</v>
      </c>
      <c r="E49" s="49" t="n">
        <v>0.375</v>
      </c>
      <c r="F49" s="49"/>
      <c r="G49" s="52" t="n">
        <f aca="false">E49*1000/(100*R49)</f>
        <v>0.0670422222977068</v>
      </c>
      <c r="H49" s="49"/>
      <c r="I49" s="49" t="s">
        <v>4386</v>
      </c>
      <c r="J49" s="49"/>
      <c r="K49" s="49"/>
      <c r="L49" s="49"/>
      <c r="M49" s="49"/>
      <c r="N49" s="49"/>
      <c r="O49" s="49"/>
      <c r="P49" s="54" t="n">
        <v>55.9349</v>
      </c>
      <c r="Q49" s="49" t="s">
        <v>5663</v>
      </c>
      <c r="R49" s="54" t="n">
        <f aca="false">P49</f>
        <v>55.9349</v>
      </c>
      <c r="S49" s="19"/>
      <c r="T49" s="19"/>
      <c r="U49" s="19"/>
      <c r="V49" s="19"/>
    </row>
    <row r="50" customFormat="false" ht="15" hidden="false" customHeight="false" outlineLevel="0" collapsed="false">
      <c r="A50" s="28"/>
      <c r="B50" s="107"/>
      <c r="C50" s="49"/>
      <c r="D50" s="49" t="s">
        <v>5681</v>
      </c>
      <c r="E50" s="49" t="n">
        <v>0.009</v>
      </c>
      <c r="F50" s="49"/>
      <c r="G50" s="52" t="n">
        <f aca="false">E50*1000/(100*R50)</f>
        <v>0.00141629685582098</v>
      </c>
      <c r="H50" s="49"/>
      <c r="I50" s="49" t="s">
        <v>4095</v>
      </c>
      <c r="J50" s="49"/>
      <c r="K50" s="49"/>
      <c r="L50" s="49"/>
      <c r="M50" s="49"/>
      <c r="N50" s="49"/>
      <c r="O50" s="49"/>
      <c r="P50" s="54" t="n">
        <v>63.546</v>
      </c>
      <c r="Q50" s="49" t="s">
        <v>5663</v>
      </c>
      <c r="R50" s="54" t="n">
        <f aca="false">P50</f>
        <v>63.546</v>
      </c>
      <c r="S50" s="19"/>
      <c r="T50" s="19"/>
      <c r="U50" s="19"/>
      <c r="V50" s="19"/>
    </row>
    <row r="51" customFormat="false" ht="15" hidden="false" customHeight="false" outlineLevel="0" collapsed="false">
      <c r="A51" s="28"/>
      <c r="B51" s="107"/>
      <c r="C51" s="49"/>
      <c r="D51" s="49" t="s">
        <v>5682</v>
      </c>
      <c r="E51" s="49" t="n">
        <v>0.17</v>
      </c>
      <c r="F51" s="49"/>
      <c r="G51" s="112" t="n">
        <f aca="false">E51*1000/(100*R51)</f>
        <v>0.0309439732061597</v>
      </c>
      <c r="H51" s="49"/>
      <c r="I51" s="49" t="s">
        <v>4862</v>
      </c>
      <c r="J51" s="49"/>
      <c r="K51" s="49"/>
      <c r="L51" s="49"/>
      <c r="M51" s="49"/>
      <c r="N51" s="49"/>
      <c r="O51" s="49"/>
      <c r="P51" s="54" t="n">
        <v>54.938</v>
      </c>
      <c r="Q51" s="49" t="s">
        <v>5663</v>
      </c>
      <c r="R51" s="54" t="n">
        <f aca="false">P51</f>
        <v>54.938</v>
      </c>
      <c r="S51" s="19"/>
      <c r="T51" s="19"/>
      <c r="U51" s="19"/>
      <c r="V51" s="19"/>
    </row>
    <row r="52" customFormat="false" ht="15" hidden="false" customHeight="false" outlineLevel="0" collapsed="false">
      <c r="A52" s="28"/>
      <c r="B52" s="107"/>
      <c r="C52" s="49"/>
      <c r="D52" s="49" t="s">
        <v>5683</v>
      </c>
      <c r="E52" s="49" t="n">
        <v>0.014</v>
      </c>
      <c r="F52" s="49"/>
      <c r="G52" s="52" t="n">
        <f aca="false">E52*1000/(100*R52)</f>
        <v>0.00218992602742726</v>
      </c>
      <c r="H52" s="49"/>
      <c r="I52" s="49" t="s">
        <v>5589</v>
      </c>
      <c r="J52" s="49"/>
      <c r="K52" s="49"/>
      <c r="L52" s="49"/>
      <c r="M52" s="49"/>
      <c r="N52" s="49"/>
      <c r="O52" s="49"/>
      <c r="P52" s="54" t="n">
        <v>63.9291</v>
      </c>
      <c r="Q52" s="49" t="s">
        <v>5663</v>
      </c>
      <c r="R52" s="54" t="n">
        <f aca="false">P52</f>
        <v>63.9291</v>
      </c>
      <c r="S52" s="113"/>
      <c r="T52" s="113"/>
      <c r="U52" s="113"/>
      <c r="V52" s="113"/>
    </row>
    <row r="53" customFormat="false" ht="15.75" hidden="false" customHeight="false" outlineLevel="0" collapsed="false">
      <c r="A53" s="28"/>
      <c r="B53" s="107"/>
      <c r="C53" s="96"/>
      <c r="D53" s="96" t="s">
        <v>5684</v>
      </c>
      <c r="E53" s="96" t="n">
        <v>0.88</v>
      </c>
      <c r="F53" s="96"/>
      <c r="G53" s="114" t="n">
        <f aca="false">E53*1000/(100*R53)</f>
        <v>0.0916075034873311</v>
      </c>
      <c r="H53" s="96"/>
      <c r="I53" s="96" t="s">
        <v>5316</v>
      </c>
      <c r="J53" s="96" t="n">
        <v>0</v>
      </c>
      <c r="K53" s="96" t="n">
        <v>0</v>
      </c>
      <c r="L53" s="96" t="n">
        <v>0</v>
      </c>
      <c r="M53" s="96" t="n">
        <v>4</v>
      </c>
      <c r="N53" s="96" t="n">
        <v>0</v>
      </c>
      <c r="O53" s="96" t="n">
        <v>1</v>
      </c>
      <c r="P53" s="56" t="n">
        <f aca="false">J53*$J$2+K53*$K$2+L53*$L$2+M53*$M$2+N53*$N$2+O53*$O$2</f>
        <v>96.062</v>
      </c>
      <c r="Q53" s="96" t="s">
        <v>5663</v>
      </c>
      <c r="R53" s="54" t="n">
        <f aca="false">P53</f>
        <v>96.062</v>
      </c>
      <c r="S53" s="115"/>
      <c r="T53" s="115"/>
      <c r="U53" s="115"/>
      <c r="V53" s="115"/>
    </row>
    <row r="54" customFormat="false" ht="15" hidden="false" customHeight="false" outlineLevel="0" collapsed="false">
      <c r="A54" s="28"/>
      <c r="B54" s="57" t="s">
        <v>5685</v>
      </c>
      <c r="C54" s="116"/>
      <c r="D54" s="116"/>
      <c r="E54" s="117" t="s">
        <v>5686</v>
      </c>
      <c r="F54" s="117" t="s">
        <v>5687</v>
      </c>
      <c r="G54" s="118" t="n">
        <f aca="false">SUM(G55:G78)</f>
        <v>0.0049764794238985</v>
      </c>
      <c r="H54" s="116"/>
      <c r="I54" s="116"/>
      <c r="J54" s="116"/>
      <c r="K54" s="116"/>
      <c r="L54" s="116"/>
      <c r="M54" s="116"/>
      <c r="N54" s="116"/>
      <c r="O54" s="116"/>
      <c r="P54" s="119"/>
      <c r="Q54" s="119"/>
      <c r="R54" s="119"/>
      <c r="S54" s="31"/>
      <c r="T54" s="31"/>
      <c r="U54" s="31"/>
      <c r="V54" s="31"/>
    </row>
    <row r="55" customFormat="false" ht="15" hidden="false" customHeight="true" outlineLevel="0" collapsed="false">
      <c r="A55" s="28"/>
      <c r="B55" s="57"/>
      <c r="C55" s="120" t="s">
        <v>5688</v>
      </c>
      <c r="D55" s="121" t="s">
        <v>5689</v>
      </c>
      <c r="E55" s="122" t="n">
        <v>546.314245616064</v>
      </c>
      <c r="F55" s="123" t="n">
        <v>0.715531789602813</v>
      </c>
      <c r="G55" s="124" t="n">
        <f aca="false">F55*1000*0.0034/$E$79</f>
        <v>0.00358389616338455</v>
      </c>
      <c r="H55" s="120" t="s">
        <v>5690</v>
      </c>
      <c r="I55" s="120" t="s">
        <v>5181</v>
      </c>
      <c r="J55" s="120" t="n">
        <v>4</v>
      </c>
      <c r="K55" s="120" t="n">
        <v>14</v>
      </c>
      <c r="L55" s="120" t="n">
        <v>2</v>
      </c>
      <c r="M55" s="125" t="n">
        <v>0</v>
      </c>
      <c r="N55" s="125" t="n">
        <v>0</v>
      </c>
      <c r="O55" s="125" t="n">
        <v>0</v>
      </c>
      <c r="P55" s="37" t="n">
        <f aca="false">J55*$J$2+K55*$K$2+L55*$L$2+M55*$M$2+N55*$N$2+O55*$O$2</f>
        <v>90.17</v>
      </c>
      <c r="Q55" s="125" t="s">
        <v>5663</v>
      </c>
      <c r="R55" s="126" t="n">
        <f aca="false">P55</f>
        <v>90.17</v>
      </c>
      <c r="S55" s="31"/>
      <c r="T55" s="31"/>
      <c r="U55" s="31"/>
      <c r="V55" s="31"/>
    </row>
    <row r="56" customFormat="false" ht="15" hidden="false" customHeight="false" outlineLevel="0" collapsed="false">
      <c r="A56" s="28"/>
      <c r="B56" s="57"/>
      <c r="C56" s="120"/>
      <c r="D56" s="121" t="s">
        <v>5691</v>
      </c>
      <c r="E56" s="122" t="n">
        <v>96.0789927907441</v>
      </c>
      <c r="F56" s="123" t="n">
        <v>0.145041971418135</v>
      </c>
      <c r="G56" s="124" t="n">
        <f aca="false">F56*1000*0.0034/$E$79</f>
        <v>0.0007264741727041</v>
      </c>
      <c r="H56" s="120" t="s">
        <v>5690</v>
      </c>
      <c r="I56" s="120" t="s">
        <v>5326</v>
      </c>
      <c r="J56" s="120" t="n">
        <v>7</v>
      </c>
      <c r="K56" s="120" t="n">
        <v>22</v>
      </c>
      <c r="L56" s="120" t="n">
        <v>3</v>
      </c>
      <c r="M56" s="125" t="n">
        <v>0</v>
      </c>
      <c r="N56" s="125" t="n">
        <v>0</v>
      </c>
      <c r="O56" s="125" t="n">
        <v>0</v>
      </c>
      <c r="P56" s="37" t="n">
        <f aca="false">J56*$J$2+K56*$K$2+L56*$L$2+M56*$M$2+N56*$N$2+O56*$O$2</f>
        <v>148.274</v>
      </c>
      <c r="Q56" s="125" t="s">
        <v>5663</v>
      </c>
      <c r="R56" s="126" t="n">
        <f aca="false">P56</f>
        <v>148.274</v>
      </c>
      <c r="S56" s="31"/>
      <c r="T56" s="31"/>
      <c r="U56" s="31"/>
      <c r="V56" s="31"/>
    </row>
    <row r="57" customFormat="false" ht="15" hidden="false" customHeight="false" outlineLevel="0" collapsed="false">
      <c r="A57" s="28"/>
      <c r="B57" s="57"/>
      <c r="C57" s="120"/>
      <c r="D57" s="121" t="s">
        <v>5692</v>
      </c>
      <c r="E57" s="122" t="n">
        <v>4.44526140554807</v>
      </c>
      <c r="F57" s="123" t="n">
        <v>0.0060039863119162</v>
      </c>
      <c r="G57" s="124" t="n">
        <f aca="false">F57*1000*0.0034/$E$79</f>
        <v>3.00722676769318E-005</v>
      </c>
      <c r="H57" s="120" t="s">
        <v>5690</v>
      </c>
      <c r="I57" s="120" t="s">
        <v>3734</v>
      </c>
      <c r="J57" s="120" t="n">
        <v>23</v>
      </c>
      <c r="K57" s="120" t="n">
        <v>34</v>
      </c>
      <c r="L57" s="120" t="n">
        <v>7</v>
      </c>
      <c r="M57" s="125" t="n">
        <v>17</v>
      </c>
      <c r="N57" s="125" t="n">
        <v>3</v>
      </c>
      <c r="O57" s="125" t="n">
        <v>1</v>
      </c>
      <c r="P57" s="37" t="n">
        <f aca="false">J57*$J$2+K57*$K$2+L57*$L$2+M57*$M$2+N57*$N$2+O57*$O$2</f>
        <v>805.545</v>
      </c>
      <c r="Q57" s="125" t="s">
        <v>5663</v>
      </c>
      <c r="R57" s="126" t="n">
        <f aca="false">P57</f>
        <v>805.545</v>
      </c>
      <c r="S57" s="31"/>
      <c r="T57" s="31"/>
      <c r="U57" s="31"/>
      <c r="V57" s="31"/>
    </row>
    <row r="58" customFormat="false" ht="15" hidden="false" customHeight="false" outlineLevel="0" collapsed="false">
      <c r="A58" s="28"/>
      <c r="B58" s="57"/>
      <c r="C58" s="120"/>
      <c r="D58" s="121" t="s">
        <v>5693</v>
      </c>
      <c r="E58" s="122" t="n">
        <v>0</v>
      </c>
      <c r="F58" s="123" t="n">
        <v>0.00360239178714972</v>
      </c>
      <c r="G58" s="124" t="n">
        <f aca="false">F58*1000*0.0034/$E$79</f>
        <v>1.80433606061591E-005</v>
      </c>
      <c r="H58" s="120" t="s">
        <v>5690</v>
      </c>
      <c r="I58" s="120" t="s">
        <v>4060</v>
      </c>
      <c r="J58" s="120" t="n">
        <v>21</v>
      </c>
      <c r="K58" s="120" t="n">
        <v>32</v>
      </c>
      <c r="L58" s="120" t="n">
        <v>7</v>
      </c>
      <c r="M58" s="125" t="n">
        <v>16</v>
      </c>
      <c r="N58" s="125" t="n">
        <v>3</v>
      </c>
      <c r="O58" s="125" t="n">
        <v>1</v>
      </c>
      <c r="P58" s="37" t="n">
        <f aca="false">J58*$J$2+K58*$K$2+L58*$L$2+M58*$M$2+N58*$N$2+O58*$O$2</f>
        <v>763.508</v>
      </c>
      <c r="Q58" s="125" t="s">
        <v>5663</v>
      </c>
      <c r="R58" s="126" t="n">
        <f aca="false">P58</f>
        <v>763.508</v>
      </c>
      <c r="S58" s="31"/>
      <c r="T58" s="31"/>
      <c r="U58" s="31"/>
      <c r="V58" s="31"/>
    </row>
    <row r="59" customFormat="false" ht="15" hidden="false" customHeight="false" outlineLevel="0" collapsed="false">
      <c r="A59" s="28"/>
      <c r="B59" s="57"/>
      <c r="C59" s="120"/>
      <c r="D59" s="121" t="s">
        <v>5694</v>
      </c>
      <c r="E59" s="122" t="n">
        <v>0</v>
      </c>
      <c r="F59" s="123" t="n">
        <v>0.0021134031817945</v>
      </c>
      <c r="G59" s="124" t="n">
        <f aca="false">F59*1000*0.0034/$E$79</f>
        <v>1.058543822228E-005</v>
      </c>
      <c r="H59" s="120" t="s">
        <v>5690</v>
      </c>
      <c r="I59" s="120" t="s">
        <v>4857</v>
      </c>
      <c r="J59" s="120" t="n">
        <v>25</v>
      </c>
      <c r="K59" s="120" t="n">
        <v>35</v>
      </c>
      <c r="L59" s="120" t="n">
        <v>7</v>
      </c>
      <c r="M59" s="125" t="n">
        <v>19</v>
      </c>
      <c r="N59" s="125" t="n">
        <v>3</v>
      </c>
      <c r="O59" s="125" t="n">
        <v>1</v>
      </c>
      <c r="P59" s="37" t="n">
        <f aca="false">J59*$J$2+K59*$K$2+L59*$L$2+M59*$M$2+N59*$N$2+O59*$O$2</f>
        <v>862.573</v>
      </c>
      <c r="Q59" s="125" t="s">
        <v>5663</v>
      </c>
      <c r="R59" s="126" t="n">
        <f aca="false">P59</f>
        <v>862.573</v>
      </c>
      <c r="S59" s="31"/>
      <c r="T59" s="31"/>
      <c r="U59" s="31"/>
      <c r="V59" s="31"/>
    </row>
    <row r="60" customFormat="false" ht="15" hidden="false" customHeight="false" outlineLevel="0" collapsed="false">
      <c r="A60" s="28"/>
      <c r="B60" s="57"/>
      <c r="C60" s="120"/>
      <c r="D60" s="121" t="s">
        <v>5695</v>
      </c>
      <c r="E60" s="122" t="n">
        <v>0</v>
      </c>
      <c r="F60" s="123" t="n">
        <v>0.0384255123962637</v>
      </c>
      <c r="G60" s="124" t="n">
        <f aca="false">F60*1000*0.0034/$E$79</f>
        <v>0.000192462513132364</v>
      </c>
      <c r="H60" s="120" t="s">
        <v>5690</v>
      </c>
      <c r="I60" s="120" t="s">
        <v>4902</v>
      </c>
      <c r="J60" s="120" t="n">
        <v>21</v>
      </c>
      <c r="K60" s="120" t="n">
        <v>26</v>
      </c>
      <c r="L60" s="120" t="n">
        <v>7</v>
      </c>
      <c r="M60" s="125" t="n">
        <v>14</v>
      </c>
      <c r="N60" s="125" t="n">
        <v>2</v>
      </c>
      <c r="O60" s="125" t="n">
        <v>0</v>
      </c>
      <c r="P60" s="37" t="n">
        <f aca="false">J60*$J$2+K60*$K$2+L60*$L$2+M60*$M$2+N60*$N$2+O60*$O$2</f>
        <v>662.422</v>
      </c>
      <c r="Q60" s="125" t="s">
        <v>5663</v>
      </c>
      <c r="R60" s="126" t="n">
        <f aca="false">P60</f>
        <v>662.422</v>
      </c>
      <c r="S60" s="31"/>
      <c r="T60" s="31"/>
      <c r="U60" s="31"/>
      <c r="V60" s="31"/>
    </row>
    <row r="61" customFormat="false" ht="15" hidden="false" customHeight="false" outlineLevel="0" collapsed="false">
      <c r="A61" s="28"/>
      <c r="B61" s="57"/>
      <c r="C61" s="120"/>
      <c r="D61" s="121" t="s">
        <v>5696</v>
      </c>
      <c r="E61" s="122" t="n">
        <v>0</v>
      </c>
      <c r="F61" s="123" t="n">
        <v>0.00240159452476648</v>
      </c>
      <c r="G61" s="124" t="n">
        <f aca="false">F61*1000*0.0034/$E$79</f>
        <v>1.20289070707727E-005</v>
      </c>
      <c r="H61" s="120" t="s">
        <v>5690</v>
      </c>
      <c r="I61" s="120" t="s">
        <v>4912</v>
      </c>
      <c r="J61" s="120" t="n">
        <v>21</v>
      </c>
      <c r="K61" s="120" t="n">
        <v>25</v>
      </c>
      <c r="L61" s="120" t="n">
        <v>7</v>
      </c>
      <c r="M61" s="125" t="n">
        <v>17</v>
      </c>
      <c r="N61" s="125" t="n">
        <v>3</v>
      </c>
      <c r="O61" s="125" t="n">
        <v>0</v>
      </c>
      <c r="P61" s="37" t="n">
        <f aca="false">J61*$J$2+K61*$K$2+L61*$L$2+M61*$M$2+N61*$N$2+O61*$O$2</f>
        <v>740.385</v>
      </c>
      <c r="Q61" s="125" t="s">
        <v>5663</v>
      </c>
      <c r="R61" s="126" t="n">
        <f aca="false">P61</f>
        <v>740.385</v>
      </c>
      <c r="S61" s="31"/>
      <c r="T61" s="31"/>
      <c r="U61" s="31"/>
      <c r="V61" s="31"/>
    </row>
    <row r="62" customFormat="false" ht="15" hidden="false" customHeight="false" outlineLevel="0" collapsed="false">
      <c r="A62" s="28"/>
      <c r="B62" s="57"/>
      <c r="C62" s="120"/>
      <c r="D62" s="121" t="s">
        <v>5697</v>
      </c>
      <c r="E62" s="122" t="n">
        <v>0</v>
      </c>
      <c r="F62" s="123" t="n">
        <v>0.00720478357429944</v>
      </c>
      <c r="G62" s="124" t="n">
        <f aca="false">F62*1000*0.0034/$E$79</f>
        <v>3.60867212123182E-005</v>
      </c>
      <c r="H62" s="120" t="s">
        <v>5690</v>
      </c>
      <c r="I62" s="120" t="s">
        <v>4917</v>
      </c>
      <c r="J62" s="120" t="n">
        <v>21</v>
      </c>
      <c r="K62" s="120" t="n">
        <v>26</v>
      </c>
      <c r="L62" s="120" t="n">
        <v>7</v>
      </c>
      <c r="M62" s="125" t="n">
        <v>17</v>
      </c>
      <c r="N62" s="125" t="n">
        <v>3</v>
      </c>
      <c r="O62" s="125" t="n">
        <v>0</v>
      </c>
      <c r="P62" s="37" t="n">
        <f aca="false">J62*$J$2+K62*$K$2+L62*$L$2+M62*$M$2+N62*$N$2+O62*$O$2</f>
        <v>741.393</v>
      </c>
      <c r="Q62" s="125" t="s">
        <v>5663</v>
      </c>
      <c r="R62" s="126" t="n">
        <f aca="false">P62</f>
        <v>741.393</v>
      </c>
      <c r="S62" s="31"/>
      <c r="T62" s="31"/>
      <c r="U62" s="31"/>
      <c r="V62" s="31"/>
    </row>
    <row r="63" customFormat="false" ht="15" hidden="false" customHeight="false" outlineLevel="0" collapsed="false">
      <c r="A63" s="28"/>
      <c r="B63" s="57"/>
      <c r="C63" s="120"/>
      <c r="D63" s="121" t="s">
        <v>5698</v>
      </c>
      <c r="E63" s="122" t="n">
        <v>0</v>
      </c>
      <c r="F63" s="123" t="n">
        <v>0.00480318904953296</v>
      </c>
      <c r="G63" s="124" t="n">
        <f aca="false">F63*1000*0.0034/$E$79</f>
        <v>2.40578141415454E-005</v>
      </c>
      <c r="H63" s="120" t="s">
        <v>5690</v>
      </c>
      <c r="I63" s="120" t="s">
        <v>4367</v>
      </c>
      <c r="J63" s="120" t="n">
        <v>27</v>
      </c>
      <c r="K63" s="120" t="n">
        <v>31</v>
      </c>
      <c r="L63" s="120" t="n">
        <v>9</v>
      </c>
      <c r="M63" s="125" t="n">
        <v>15</v>
      </c>
      <c r="N63" s="125" t="n">
        <v>2</v>
      </c>
      <c r="O63" s="125" t="n">
        <v>0</v>
      </c>
      <c r="P63" s="37" t="n">
        <f aca="false">J63*$J$2+K63*$K$2+L63*$L$2+M63*$M$2+N63*$N$2+O63*$O$2</f>
        <v>783.541</v>
      </c>
      <c r="Q63" s="125" t="s">
        <v>5663</v>
      </c>
      <c r="R63" s="126" t="n">
        <f aca="false">P63</f>
        <v>783.541</v>
      </c>
      <c r="S63" s="31"/>
      <c r="T63" s="31"/>
      <c r="U63" s="31"/>
      <c r="V63" s="31"/>
    </row>
    <row r="64" customFormat="false" ht="15" hidden="false" customHeight="false" outlineLevel="0" collapsed="false">
      <c r="A64" s="28"/>
      <c r="B64" s="57"/>
      <c r="C64" s="120"/>
      <c r="D64" s="121" t="s">
        <v>5699</v>
      </c>
      <c r="E64" s="122" t="n">
        <v>0</v>
      </c>
      <c r="F64" s="123" t="n">
        <v>0.00480318904953296</v>
      </c>
      <c r="G64" s="124" t="n">
        <f aca="false">F64*1000*0.0034/$E$79</f>
        <v>2.40578141415454E-005</v>
      </c>
      <c r="H64" s="120" t="s">
        <v>5690</v>
      </c>
      <c r="I64" s="120" t="s">
        <v>5360</v>
      </c>
      <c r="J64" s="120" t="n">
        <v>19</v>
      </c>
      <c r="K64" s="120" t="n">
        <v>21</v>
      </c>
      <c r="L64" s="120" t="n">
        <v>7</v>
      </c>
      <c r="M64" s="125" t="n">
        <v>6</v>
      </c>
      <c r="N64" s="125" t="n">
        <v>0</v>
      </c>
      <c r="O64" s="125" t="n">
        <v>0</v>
      </c>
      <c r="P64" s="37" t="n">
        <f aca="false">J64*$J$2+K64*$K$2+L64*$L$2+M64*$M$2+N64*$N$2+O64*$O$2</f>
        <v>443.42</v>
      </c>
      <c r="Q64" s="125" t="s">
        <v>5663</v>
      </c>
      <c r="R64" s="126" t="n">
        <f aca="false">P64</f>
        <v>443.42</v>
      </c>
      <c r="S64" s="31"/>
      <c r="T64" s="31"/>
      <c r="U64" s="31"/>
      <c r="V64" s="31"/>
    </row>
    <row r="65" customFormat="false" ht="15" hidden="false" customHeight="false" outlineLevel="0" collapsed="false">
      <c r="A65" s="28"/>
      <c r="B65" s="57"/>
      <c r="C65" s="120"/>
      <c r="D65" s="121" t="s">
        <v>5700</v>
      </c>
      <c r="E65" s="122" t="n">
        <v>0</v>
      </c>
      <c r="F65" s="123" t="n">
        <v>0.00480318904953296</v>
      </c>
      <c r="G65" s="124" t="n">
        <f aca="false">F65*1000*0.0034/$E$79</f>
        <v>2.40578141415454E-005</v>
      </c>
      <c r="H65" s="120" t="s">
        <v>5690</v>
      </c>
      <c r="I65" s="120" t="s">
        <v>4852</v>
      </c>
      <c r="J65" s="120" t="n">
        <v>21</v>
      </c>
      <c r="K65" s="120" t="n">
        <v>21</v>
      </c>
      <c r="L65" s="120" t="n">
        <v>7</v>
      </c>
      <c r="M65" s="125" t="n">
        <v>6</v>
      </c>
      <c r="N65" s="125" t="n">
        <v>0</v>
      </c>
      <c r="O65" s="125" t="n">
        <v>0</v>
      </c>
      <c r="P65" s="37" t="n">
        <f aca="false">J65*$J$2+K65*$K$2+L65*$L$2+M65*$M$2+N65*$N$2+O65*$O$2</f>
        <v>467.442</v>
      </c>
      <c r="Q65" s="125" t="s">
        <v>5663</v>
      </c>
      <c r="R65" s="126" t="n">
        <f aca="false">P65</f>
        <v>467.442</v>
      </c>
      <c r="S65" s="31"/>
      <c r="T65" s="31"/>
      <c r="U65" s="31"/>
      <c r="V65" s="31"/>
    </row>
    <row r="66" customFormat="false" ht="15" hidden="false" customHeight="false" outlineLevel="0" collapsed="false">
      <c r="A66" s="28"/>
      <c r="B66" s="57"/>
      <c r="C66" s="120"/>
      <c r="D66" s="121" t="s">
        <v>5701</v>
      </c>
      <c r="E66" s="122" t="n">
        <v>3.7634955510601</v>
      </c>
      <c r="F66" s="123" t="n">
        <v>0.00480318904953296</v>
      </c>
      <c r="G66" s="124" t="n">
        <f aca="false">F66*1000*0.0034/$E$79</f>
        <v>2.40578141415454E-005</v>
      </c>
      <c r="H66" s="120" t="s">
        <v>5690</v>
      </c>
      <c r="I66" s="120" t="s">
        <v>3669</v>
      </c>
      <c r="J66" s="120" t="n">
        <v>21</v>
      </c>
      <c r="K66" s="120" t="n">
        <v>23</v>
      </c>
      <c r="L66" s="120" t="n">
        <v>7</v>
      </c>
      <c r="M66" s="125" t="n">
        <v>6</v>
      </c>
      <c r="N66" s="125" t="n">
        <v>0</v>
      </c>
      <c r="O66" s="125" t="n">
        <v>0</v>
      </c>
      <c r="P66" s="37" t="n">
        <f aca="false">J66*$J$2+K66*$K$2+L66*$L$2+M66*$M$2+N66*$N$2+O66*$O$2</f>
        <v>469.458</v>
      </c>
      <c r="Q66" s="125" t="s">
        <v>5663</v>
      </c>
      <c r="R66" s="126" t="n">
        <f aca="false">P66</f>
        <v>469.458</v>
      </c>
      <c r="S66" s="31"/>
      <c r="T66" s="31"/>
      <c r="U66" s="31"/>
      <c r="V66" s="31"/>
    </row>
    <row r="67" customFormat="false" ht="15" hidden="false" customHeight="false" outlineLevel="0" collapsed="false">
      <c r="A67" s="28"/>
      <c r="B67" s="57"/>
      <c r="C67" s="120"/>
      <c r="D67" s="121" t="s">
        <v>5702</v>
      </c>
      <c r="E67" s="122" t="n">
        <v>2.1298300883439</v>
      </c>
      <c r="F67" s="123" t="n">
        <v>0.00480318904953296</v>
      </c>
      <c r="G67" s="124" t="n">
        <f aca="false">F67*1000*0.0034/$E$79</f>
        <v>2.40578141415454E-005</v>
      </c>
      <c r="H67" s="120" t="s">
        <v>5690</v>
      </c>
      <c r="I67" s="120" t="s">
        <v>5380</v>
      </c>
      <c r="J67" s="120" t="n">
        <v>12</v>
      </c>
      <c r="K67" s="120" t="n">
        <v>16</v>
      </c>
      <c r="L67" s="120" t="n">
        <v>4</v>
      </c>
      <c r="M67" s="125" t="n">
        <v>7</v>
      </c>
      <c r="N67" s="125" t="n">
        <v>2</v>
      </c>
      <c r="O67" s="125" t="n">
        <v>1</v>
      </c>
      <c r="P67" s="37" t="n">
        <f aca="false">J67*$J$2+K67*$K$2+L67*$L$2+M67*$M$2+N67*$N$2+O67*$O$2</f>
        <v>422.295</v>
      </c>
      <c r="Q67" s="125" t="s">
        <v>5663</v>
      </c>
      <c r="R67" s="126" t="n">
        <f aca="false">P67</f>
        <v>422.295</v>
      </c>
      <c r="S67" s="31"/>
      <c r="T67" s="31"/>
      <c r="U67" s="31"/>
      <c r="V67" s="31"/>
    </row>
    <row r="68" customFormat="false" ht="15" hidden="false" customHeight="false" outlineLevel="0" collapsed="false">
      <c r="A68" s="28"/>
      <c r="B68" s="57"/>
      <c r="C68" s="120"/>
      <c r="D68" s="121" t="s">
        <v>5703</v>
      </c>
      <c r="E68" s="122" t="n">
        <v>2.18752119201784</v>
      </c>
      <c r="F68" s="123" t="n">
        <v>0.00480318904953296</v>
      </c>
      <c r="G68" s="124" t="n">
        <f aca="false">F68*1000*0.0034/$E$79</f>
        <v>2.40578141415454E-005</v>
      </c>
      <c r="H68" s="120" t="s">
        <v>5690</v>
      </c>
      <c r="I68" s="120" t="s">
        <v>5221</v>
      </c>
      <c r="J68" s="120" t="n">
        <v>49</v>
      </c>
      <c r="K68" s="120" t="n">
        <v>76</v>
      </c>
      <c r="L68" s="120" t="n">
        <v>0</v>
      </c>
      <c r="M68" s="125" t="n">
        <v>4</v>
      </c>
      <c r="N68" s="125" t="n">
        <v>0</v>
      </c>
      <c r="O68" s="125" t="n">
        <v>0</v>
      </c>
      <c r="P68" s="37" t="n">
        <f aca="false">J68*$J$2+K68*$K$2+L68*$L$2+M68*$M$2+N68*$N$2+O68*$O$2</f>
        <v>729.143</v>
      </c>
      <c r="Q68" s="125" t="s">
        <v>5663</v>
      </c>
      <c r="R68" s="126" t="n">
        <f aca="false">P68</f>
        <v>729.143</v>
      </c>
      <c r="S68" s="31"/>
      <c r="T68" s="31"/>
      <c r="U68" s="31"/>
      <c r="V68" s="31"/>
    </row>
    <row r="69" customFormat="false" ht="15" hidden="false" customHeight="false" outlineLevel="0" collapsed="false">
      <c r="A69" s="28"/>
      <c r="B69" s="57"/>
      <c r="C69" s="120"/>
      <c r="D69" s="121" t="s">
        <v>5704</v>
      </c>
      <c r="E69" s="122" t="n">
        <v>2.20204603570363</v>
      </c>
      <c r="F69" s="123" t="n">
        <v>0.00480318904953296</v>
      </c>
      <c r="G69" s="124" t="n">
        <f aca="false">F69*1000*0.0034/$E$79</f>
        <v>2.40578141415454E-005</v>
      </c>
      <c r="H69" s="120" t="s">
        <v>5690</v>
      </c>
      <c r="I69" s="120" t="s">
        <v>5196</v>
      </c>
      <c r="J69" s="120" t="n">
        <v>8</v>
      </c>
      <c r="K69" s="120" t="n">
        <v>8</v>
      </c>
      <c r="L69" s="120" t="n">
        <v>1</v>
      </c>
      <c r="M69" s="125" t="n">
        <v>6</v>
      </c>
      <c r="N69" s="125" t="n">
        <v>1</v>
      </c>
      <c r="O69" s="125" t="n">
        <v>0</v>
      </c>
      <c r="P69" s="37" t="n">
        <f aca="false">J69*$J$2+K69*$K$2+L69*$L$2+M69*$M$2+N69*$N$2+O69*$O$2</f>
        <v>245.127</v>
      </c>
      <c r="Q69" s="125" t="s">
        <v>5663</v>
      </c>
      <c r="R69" s="126" t="n">
        <f aca="false">P69</f>
        <v>245.127</v>
      </c>
      <c r="S69" s="31"/>
      <c r="T69" s="31"/>
      <c r="U69" s="31"/>
      <c r="V69" s="31"/>
    </row>
    <row r="70" customFormat="false" ht="15" hidden="false" customHeight="false" outlineLevel="0" collapsed="false">
      <c r="A70" s="28"/>
      <c r="B70" s="57"/>
      <c r="C70" s="120"/>
      <c r="D70" s="121" t="s">
        <v>5705</v>
      </c>
      <c r="E70" s="122" t="n">
        <v>2.26436741362132</v>
      </c>
      <c r="F70" s="123" t="n">
        <v>0.00480318904953296</v>
      </c>
      <c r="G70" s="124" t="n">
        <f aca="false">F70*1000*0.0034/$E$79</f>
        <v>2.40578141415454E-005</v>
      </c>
      <c r="H70" s="120" t="s">
        <v>5690</v>
      </c>
      <c r="I70" s="120" t="s">
        <v>4670</v>
      </c>
      <c r="J70" s="120" t="n">
        <v>49</v>
      </c>
      <c r="K70" s="120" t="n">
        <v>56</v>
      </c>
      <c r="L70" s="120" t="n">
        <v>4</v>
      </c>
      <c r="M70" s="125" t="n">
        <v>5</v>
      </c>
      <c r="N70" s="125" t="n">
        <v>0</v>
      </c>
      <c r="O70" s="125" t="n">
        <v>0</v>
      </c>
      <c r="P70" s="37" t="n">
        <f aca="false">J70*$J$2+K70*$K$2+L70*$L$2+M70*$M$2+N70*$N$2+O70*$O$2</f>
        <v>781.01</v>
      </c>
      <c r="Q70" s="125" t="s">
        <v>5663</v>
      </c>
      <c r="R70" s="126" t="n">
        <f aca="false">P70</f>
        <v>781.01</v>
      </c>
      <c r="S70" s="31"/>
      <c r="T70" s="31"/>
      <c r="U70" s="31"/>
      <c r="V70" s="31"/>
    </row>
    <row r="71" customFormat="false" ht="15" hidden="false" customHeight="false" outlineLevel="0" collapsed="false">
      <c r="A71" s="28"/>
      <c r="B71" s="57"/>
      <c r="C71" s="120"/>
      <c r="D71" s="121" t="s">
        <v>5706</v>
      </c>
      <c r="E71" s="122" t="n">
        <v>2.02836271967252</v>
      </c>
      <c r="F71" s="123" t="n">
        <v>0.00480318904953296</v>
      </c>
      <c r="G71" s="124" t="n">
        <f aca="false">F71*1000*0.0034/$E$79</f>
        <v>2.40578141415454E-005</v>
      </c>
      <c r="H71" s="120" t="s">
        <v>5690</v>
      </c>
      <c r="I71" s="120" t="s">
        <v>5033</v>
      </c>
      <c r="J71" s="120" t="n">
        <v>34</v>
      </c>
      <c r="K71" s="120" t="n">
        <v>30</v>
      </c>
      <c r="L71" s="120" t="n">
        <v>4</v>
      </c>
      <c r="M71" s="125" t="n">
        <v>4</v>
      </c>
      <c r="N71" s="125" t="n">
        <v>0</v>
      </c>
      <c r="O71" s="125" t="n">
        <v>0</v>
      </c>
      <c r="P71" s="37" t="n">
        <f aca="false">J71*$J$2+K71*$K$2+L71*$L$2+M71*$M$2+N71*$N$2+O71*$O$2</f>
        <v>558.638</v>
      </c>
      <c r="Q71" s="125" t="s">
        <v>5663</v>
      </c>
      <c r="R71" s="126" t="n">
        <f aca="false">P71</f>
        <v>558.638</v>
      </c>
      <c r="S71" s="31"/>
      <c r="T71" s="31"/>
      <c r="U71" s="31"/>
      <c r="V71" s="31"/>
    </row>
    <row r="72" customFormat="false" ht="15" hidden="false" customHeight="false" outlineLevel="0" collapsed="false">
      <c r="A72" s="28"/>
      <c r="B72" s="57"/>
      <c r="C72" s="120"/>
      <c r="D72" s="121" t="s">
        <v>5707</v>
      </c>
      <c r="E72" s="122" t="n">
        <v>3.50221167314361</v>
      </c>
      <c r="F72" s="123" t="n">
        <v>0.00480318904953296</v>
      </c>
      <c r="G72" s="124" t="n">
        <f aca="false">F72*1000*0.0034/$E$79</f>
        <v>2.40578141415454E-005</v>
      </c>
      <c r="H72" s="120" t="s">
        <v>5690</v>
      </c>
      <c r="I72" s="120" t="s">
        <v>5285</v>
      </c>
      <c r="J72" s="120" t="n">
        <v>42</v>
      </c>
      <c r="K72" s="120" t="n">
        <v>36</v>
      </c>
      <c r="L72" s="120" t="n">
        <v>4</v>
      </c>
      <c r="M72" s="125" t="n">
        <v>16</v>
      </c>
      <c r="N72" s="125" t="n">
        <v>0</v>
      </c>
      <c r="O72" s="125" t="n">
        <v>0</v>
      </c>
      <c r="P72" s="37" t="n">
        <f aca="false">J72*$J$2+K72*$K$2+L72*$L$2+M72*$M$2+N72*$N$2+O72*$O$2</f>
        <v>852.762</v>
      </c>
      <c r="Q72" s="125" t="s">
        <v>5663</v>
      </c>
      <c r="R72" s="126" t="n">
        <f aca="false">P72</f>
        <v>852.762</v>
      </c>
      <c r="S72" s="31"/>
      <c r="T72" s="31"/>
      <c r="U72" s="31"/>
      <c r="V72" s="31"/>
    </row>
    <row r="73" customFormat="false" ht="15" hidden="false" customHeight="false" outlineLevel="0" collapsed="false">
      <c r="A73" s="28"/>
      <c r="B73" s="57"/>
      <c r="C73" s="120"/>
      <c r="D73" s="121" t="s">
        <v>5708</v>
      </c>
      <c r="E73" s="122" t="n">
        <v>2.68324392425299</v>
      </c>
      <c r="F73" s="123" t="n">
        <v>0.00480318904953296</v>
      </c>
      <c r="G73" s="124" t="n">
        <f aca="false">F73*1000*0.0034/$E$79</f>
        <v>2.40578141415454E-005</v>
      </c>
      <c r="H73" s="120" t="s">
        <v>5690</v>
      </c>
      <c r="I73" s="120" t="s">
        <v>4606</v>
      </c>
      <c r="J73" s="120" t="n">
        <v>10</v>
      </c>
      <c r="K73" s="120" t="n">
        <v>12</v>
      </c>
      <c r="L73" s="120" t="n">
        <v>3</v>
      </c>
      <c r="M73" s="125" t="n">
        <v>6</v>
      </c>
      <c r="N73" s="125" t="n">
        <v>0</v>
      </c>
      <c r="O73" s="125" t="n">
        <v>1</v>
      </c>
      <c r="P73" s="37" t="n">
        <f aca="false">J73*$J$2+K73*$K$2+L73*$L$2+M73*$M$2+N73*$N$2+O73*$O$2</f>
        <v>302.287</v>
      </c>
      <c r="Q73" s="125" t="s">
        <v>5663</v>
      </c>
      <c r="R73" s="126" t="n">
        <f aca="false">P73</f>
        <v>302.287</v>
      </c>
      <c r="S73" s="31"/>
      <c r="T73" s="31"/>
      <c r="U73" s="31"/>
      <c r="V73" s="31"/>
    </row>
    <row r="74" customFormat="false" ht="15" hidden="false" customHeight="false" outlineLevel="0" collapsed="false">
      <c r="A74" s="28"/>
      <c r="B74" s="57"/>
      <c r="C74" s="120"/>
      <c r="D74" s="121" t="s">
        <v>5709</v>
      </c>
      <c r="E74" s="122" t="n">
        <v>0.797073624197071</v>
      </c>
      <c r="F74" s="123" t="n">
        <v>0.00119045813349384</v>
      </c>
      <c r="G74" s="124" t="n">
        <f aca="false">F74*1000*0.0034/$E$79</f>
        <v>5.96266776584004E-006</v>
      </c>
      <c r="H74" s="120" t="s">
        <v>5690</v>
      </c>
      <c r="I74" s="120" t="s">
        <v>5480</v>
      </c>
      <c r="J74" s="120" t="n">
        <v>55</v>
      </c>
      <c r="K74" s="120" t="n">
        <v>89</v>
      </c>
      <c r="L74" s="120" t="n">
        <v>0</v>
      </c>
      <c r="M74" s="125" t="n">
        <v>7</v>
      </c>
      <c r="N74" s="125" t="n">
        <v>2</v>
      </c>
      <c r="O74" s="125" t="n">
        <v>0</v>
      </c>
      <c r="P74" s="37" t="n">
        <f aca="false">J74*$J$2+K74*$K$2+L74*$L$2+M74*$M$2+N74*$N$2+O74*$O$2</f>
        <v>924.258</v>
      </c>
      <c r="Q74" s="125" t="s">
        <v>5663</v>
      </c>
      <c r="R74" s="126" t="n">
        <f aca="false">P74</f>
        <v>924.258</v>
      </c>
      <c r="S74" s="31"/>
      <c r="T74" s="31"/>
      <c r="U74" s="31"/>
      <c r="V74" s="31"/>
    </row>
    <row r="75" customFormat="false" ht="15" hidden="false" customHeight="false" outlineLevel="0" collapsed="false">
      <c r="A75" s="28"/>
      <c r="B75" s="57"/>
      <c r="C75" s="120"/>
      <c r="D75" s="121" t="s">
        <v>5710</v>
      </c>
      <c r="E75" s="122" t="n">
        <v>4.43938590454323</v>
      </c>
      <c r="F75" s="123" t="n">
        <v>0.00480318904953296</v>
      </c>
      <c r="G75" s="124" t="n">
        <f aca="false">F75*1000*0.0034/$E$79</f>
        <v>2.40578141415454E-005</v>
      </c>
      <c r="H75" s="120" t="s">
        <v>5690</v>
      </c>
      <c r="I75" s="120" t="s">
        <v>3254</v>
      </c>
      <c r="J75" s="120" t="n">
        <v>20</v>
      </c>
      <c r="K75" s="120" t="n">
        <v>21</v>
      </c>
      <c r="L75" s="120" t="n">
        <v>7</v>
      </c>
      <c r="M75" s="125" t="n">
        <v>7</v>
      </c>
      <c r="N75" s="125" t="n">
        <v>0</v>
      </c>
      <c r="O75" s="125" t="n">
        <v>0</v>
      </c>
      <c r="P75" s="37" t="n">
        <f aca="false">J75*$J$2+K75*$K$2+L75*$L$2+M75*$M$2+N75*$N$2+O75*$O$2</f>
        <v>471.43</v>
      </c>
      <c r="Q75" s="125" t="s">
        <v>5663</v>
      </c>
      <c r="R75" s="126" t="n">
        <f aca="false">P75</f>
        <v>471.43</v>
      </c>
      <c r="S75" s="31"/>
      <c r="T75" s="31"/>
      <c r="U75" s="31"/>
      <c r="V75" s="31"/>
    </row>
    <row r="76" customFormat="false" ht="15" hidden="false" customHeight="false" outlineLevel="0" collapsed="false">
      <c r="A76" s="28"/>
      <c r="B76" s="57"/>
      <c r="C76" s="120"/>
      <c r="D76" s="121" t="s">
        <v>5711</v>
      </c>
      <c r="E76" s="122" t="n">
        <v>1.0767212828557</v>
      </c>
      <c r="F76" s="123" t="n">
        <v>0.00480318904953296</v>
      </c>
      <c r="G76" s="124" t="n">
        <f aca="false">F76*1000*0.0034/$E$79</f>
        <v>2.40578141415454E-005</v>
      </c>
      <c r="H76" s="120" t="s">
        <v>5690</v>
      </c>
      <c r="I76" s="120" t="s">
        <v>4018</v>
      </c>
      <c r="J76" s="120" t="n">
        <v>10</v>
      </c>
      <c r="K76" s="120" t="n">
        <v>8</v>
      </c>
      <c r="L76" s="120" t="n">
        <v>0</v>
      </c>
      <c r="M76" s="125" t="n">
        <v>6</v>
      </c>
      <c r="N76" s="125" t="n">
        <v>0</v>
      </c>
      <c r="O76" s="125" t="n">
        <v>0</v>
      </c>
      <c r="P76" s="37" t="n">
        <f aca="false">J76*$J$2+K76*$K$2+L76*$L$2+M76*$M$2+N76*$N$2+O76*$O$2</f>
        <v>224.168</v>
      </c>
      <c r="Q76" s="125" t="s">
        <v>5663</v>
      </c>
      <c r="R76" s="126" t="n">
        <f aca="false">P76</f>
        <v>224.168</v>
      </c>
      <c r="S76" s="31"/>
      <c r="T76" s="31"/>
      <c r="U76" s="31"/>
      <c r="V76" s="31"/>
    </row>
    <row r="77" customFormat="false" ht="15" hidden="false" customHeight="false" outlineLevel="0" collapsed="false">
      <c r="A77" s="28"/>
      <c r="B77" s="57"/>
      <c r="C77" s="120"/>
      <c r="D77" s="121" t="s">
        <v>5712</v>
      </c>
      <c r="E77" s="122" t="n">
        <v>1.91864347221404</v>
      </c>
      <c r="F77" s="123" t="n">
        <v>0.00480318904953296</v>
      </c>
      <c r="G77" s="124" t="n">
        <f aca="false">F77*1000*0.0034/$E$79</f>
        <v>2.40578141415454E-005</v>
      </c>
      <c r="H77" s="120" t="s">
        <v>5690</v>
      </c>
      <c r="I77" s="120" t="s">
        <v>3865</v>
      </c>
      <c r="J77" s="120" t="n">
        <v>15</v>
      </c>
      <c r="K77" s="120" t="n">
        <v>23</v>
      </c>
      <c r="L77" s="120" t="n">
        <v>6</v>
      </c>
      <c r="M77" s="125" t="n">
        <v>5</v>
      </c>
      <c r="N77" s="125" t="n">
        <v>0</v>
      </c>
      <c r="O77" s="125" t="n">
        <v>1</v>
      </c>
      <c r="P77" s="37" t="n">
        <f aca="false">J77*$J$2+K77*$K$2+L77*$L$2+M77*$M$2+N77*$N$2+O77*$O$2</f>
        <v>399.452</v>
      </c>
      <c r="Q77" s="125" t="s">
        <v>5663</v>
      </c>
      <c r="R77" s="126" t="n">
        <f aca="false">P77</f>
        <v>399.452</v>
      </c>
      <c r="S77" s="31"/>
      <c r="T77" s="31"/>
      <c r="U77" s="31"/>
      <c r="V77" s="31"/>
    </row>
    <row r="78" customFormat="false" ht="15" hidden="false" customHeight="false" outlineLevel="0" collapsed="false">
      <c r="A78" s="28"/>
      <c r="B78" s="57"/>
      <c r="C78" s="120"/>
      <c r="D78" s="121" t="s">
        <v>5713</v>
      </c>
      <c r="E78" s="127" t="n">
        <v>1.80777145938367</v>
      </c>
      <c r="F78" s="128" t="n">
        <v>0.00480318904953296</v>
      </c>
      <c r="G78" s="124" t="n">
        <f aca="false">F78*1000*0.0034/$E$79</f>
        <v>2.40578141415454E-005</v>
      </c>
      <c r="H78" s="120" t="s">
        <v>5690</v>
      </c>
      <c r="I78" s="120" t="s">
        <v>5249</v>
      </c>
      <c r="J78" s="120" t="n">
        <v>17</v>
      </c>
      <c r="K78" s="120" t="n">
        <v>20</v>
      </c>
      <c r="L78" s="120" t="n">
        <v>4</v>
      </c>
      <c r="M78" s="125" t="n">
        <v>6</v>
      </c>
      <c r="N78" s="125" t="n">
        <v>0</v>
      </c>
      <c r="O78" s="125" t="n">
        <v>0</v>
      </c>
      <c r="P78" s="37" t="n">
        <f aca="false">J78*$J$2+K78*$K$2+L78*$L$2+M78*$M$2+N78*$N$2+O78*$O$2</f>
        <v>376.369</v>
      </c>
      <c r="Q78" s="125" t="s">
        <v>5663</v>
      </c>
      <c r="R78" s="126" t="n">
        <f aca="false">P78</f>
        <v>376.369</v>
      </c>
      <c r="S78" s="31"/>
      <c r="T78" s="31"/>
      <c r="U78" s="31"/>
      <c r="V78" s="31"/>
    </row>
    <row r="79" customFormat="false" ht="15.75" hidden="false" customHeight="false" outlineLevel="0" collapsed="false">
      <c r="A79" s="28"/>
      <c r="B79" s="57"/>
      <c r="C79" s="129"/>
      <c r="D79" s="130"/>
      <c r="E79" s="131" t="n">
        <v>678.816565475511</v>
      </c>
      <c r="F79" s="132" t="s">
        <v>5714</v>
      </c>
      <c r="G79" s="133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06"/>
      <c r="T79" s="106"/>
      <c r="U79" s="106"/>
      <c r="V79" s="106"/>
    </row>
    <row r="80" customFormat="false" ht="15" hidden="false" customHeight="false" outlineLevel="0" collapsed="false">
      <c r="A80" s="28"/>
      <c r="B80" s="19"/>
      <c r="C80" s="19"/>
      <c r="D80" s="19"/>
      <c r="E80" s="19"/>
      <c r="F80" s="19"/>
      <c r="G80" s="134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customFormat="false" ht="15" hidden="false" customHeight="false" outlineLevel="0" collapsed="false">
      <c r="A81" s="28"/>
      <c r="B81" s="111" t="s">
        <v>5715</v>
      </c>
      <c r="C81" s="111"/>
      <c r="D81" s="111" t="s">
        <v>5659</v>
      </c>
      <c r="E81" s="111"/>
      <c r="F81" s="111"/>
      <c r="G81" s="135" t="n">
        <v>139</v>
      </c>
      <c r="H81" s="111" t="s">
        <v>5716</v>
      </c>
      <c r="I81" s="111" t="s">
        <v>5717</v>
      </c>
      <c r="J81" s="111" t="n">
        <v>10</v>
      </c>
      <c r="K81" s="111" t="n">
        <v>12</v>
      </c>
      <c r="L81" s="111" t="n">
        <v>5</v>
      </c>
      <c r="M81" s="111" t="n">
        <v>13</v>
      </c>
      <c r="N81" s="111" t="n">
        <v>3</v>
      </c>
      <c r="O81" s="136" t="n">
        <v>0</v>
      </c>
      <c r="P81" s="53" t="n">
        <f aca="false">J81*$J$2+K81*$K$2+L81*$L$2+M81*$M$2+N81*$N$2+O81*$O$2</f>
        <v>503.15</v>
      </c>
      <c r="Q81" s="81"/>
      <c r="R81" s="81"/>
      <c r="S81" s="19"/>
      <c r="T81" s="19"/>
      <c r="U81" s="19"/>
      <c r="V81" s="19"/>
    </row>
    <row r="82" customFormat="false" ht="15" hidden="false" customHeight="false" outlineLevel="0" collapsed="false">
      <c r="A82" s="28"/>
      <c r="B82" s="111" t="s">
        <v>5715</v>
      </c>
      <c r="C82" s="111"/>
      <c r="D82" s="111" t="s">
        <v>5718</v>
      </c>
      <c r="E82" s="111"/>
      <c r="F82" s="111"/>
      <c r="G82" s="135" t="n">
        <v>139</v>
      </c>
      <c r="H82" s="111" t="s">
        <v>5716</v>
      </c>
      <c r="I82" s="111" t="s">
        <v>4640</v>
      </c>
      <c r="J82" s="111" t="n">
        <v>0</v>
      </c>
      <c r="K82" s="111" t="n">
        <v>2</v>
      </c>
      <c r="L82" s="111" t="n">
        <v>0</v>
      </c>
      <c r="M82" s="136" t="n">
        <v>1</v>
      </c>
      <c r="N82" s="136" t="n">
        <v>0</v>
      </c>
      <c r="O82" s="136" t="n">
        <v>0</v>
      </c>
      <c r="P82" s="53" t="n">
        <f aca="false">J82*$J$2+K82*$K$2+L82*$L$2+M82*$M$2+N82*$N$2+O82*$O$2</f>
        <v>18.015</v>
      </c>
      <c r="Q82" s="81"/>
      <c r="R82" s="81"/>
      <c r="S82" s="19"/>
      <c r="T82" s="19"/>
      <c r="U82" s="19"/>
      <c r="V82" s="19"/>
    </row>
    <row r="83" customFormat="false" ht="15" hidden="false" customHeight="false" outlineLevel="0" collapsed="false">
      <c r="A83" s="28"/>
      <c r="B83" s="137" t="s">
        <v>5719</v>
      </c>
      <c r="C83" s="137"/>
      <c r="D83" s="137" t="s">
        <v>5659</v>
      </c>
      <c r="E83" s="137"/>
      <c r="F83" s="137"/>
      <c r="G83" s="138" t="n">
        <f aca="false">G81+G34</f>
        <v>139.086294822525</v>
      </c>
      <c r="H83" s="137"/>
      <c r="I83" s="137"/>
      <c r="J83" s="137"/>
      <c r="K83" s="137"/>
      <c r="L83" s="137"/>
      <c r="M83" s="137"/>
      <c r="N83" s="137"/>
      <c r="O83" s="137"/>
      <c r="P83" s="136"/>
      <c r="Q83" s="137"/>
      <c r="R83" s="137"/>
      <c r="S83" s="19"/>
      <c r="T83" s="19"/>
      <c r="U83" s="19"/>
      <c r="V83" s="19"/>
    </row>
    <row r="84" customFormat="false" ht="15.75" hidden="false" customHeight="false" outlineLevel="0" collapsed="false">
      <c r="A84" s="28"/>
      <c r="B84" s="139" t="s">
        <v>5720</v>
      </c>
      <c r="C84" s="139"/>
      <c r="D84" s="139" t="s">
        <v>5718</v>
      </c>
      <c r="E84" s="139"/>
      <c r="F84" s="139"/>
      <c r="G84" s="140" t="n">
        <v>139</v>
      </c>
      <c r="H84" s="139"/>
      <c r="I84" s="139"/>
      <c r="J84" s="139"/>
      <c r="K84" s="139"/>
      <c r="L84" s="139"/>
      <c r="M84" s="139"/>
      <c r="N84" s="139"/>
      <c r="O84" s="139"/>
      <c r="P84" s="141"/>
      <c r="Q84" s="139"/>
      <c r="R84" s="139"/>
      <c r="S84" s="115"/>
      <c r="T84" s="115"/>
      <c r="U84" s="115"/>
      <c r="V84" s="115"/>
    </row>
    <row r="85" customFormat="false" ht="15" hidden="false" customHeight="false" outlineLevel="0" collapsed="false">
      <c r="A85" s="142" t="s">
        <v>5721</v>
      </c>
      <c r="B85" s="120" t="s">
        <v>5722</v>
      </c>
      <c r="C85" s="67"/>
      <c r="D85" s="67" t="s">
        <v>5723</v>
      </c>
      <c r="E85" s="67"/>
      <c r="F85" s="120"/>
      <c r="G85" s="143" t="n">
        <v>139</v>
      </c>
      <c r="H85" s="67" t="s">
        <v>5716</v>
      </c>
      <c r="I85" s="67" t="s">
        <v>3793</v>
      </c>
      <c r="J85" s="67" t="n">
        <v>10</v>
      </c>
      <c r="K85" s="67" t="n">
        <v>12</v>
      </c>
      <c r="L85" s="67" t="n">
        <v>5</v>
      </c>
      <c r="M85" s="67" t="n">
        <v>10</v>
      </c>
      <c r="N85" s="67" t="n">
        <v>2</v>
      </c>
      <c r="O85" s="67" t="n">
        <v>0</v>
      </c>
      <c r="P85" s="37" t="n">
        <f aca="false">J85*$J$2+K85*$K$2+L85*$L$2+M85*$M$2+N85*$N$2+O85*$O$2</f>
        <v>424.179</v>
      </c>
      <c r="Q85" s="38"/>
      <c r="R85" s="38"/>
      <c r="S85" s="31"/>
      <c r="T85" s="31"/>
      <c r="U85" s="31"/>
      <c r="V85" s="31"/>
    </row>
    <row r="86" customFormat="false" ht="15" hidden="false" customHeight="false" outlineLevel="0" collapsed="false">
      <c r="A86" s="142"/>
      <c r="B86" s="120" t="s">
        <v>5722</v>
      </c>
      <c r="C86" s="67"/>
      <c r="D86" s="67" t="s">
        <v>4652</v>
      </c>
      <c r="E86" s="67"/>
      <c r="F86" s="120"/>
      <c r="G86" s="143" t="n">
        <v>139</v>
      </c>
      <c r="H86" s="67" t="s">
        <v>5716</v>
      </c>
      <c r="I86" s="67" t="s">
        <v>4653</v>
      </c>
      <c r="J86" s="67" t="n">
        <v>0</v>
      </c>
      <c r="K86" s="67" t="n">
        <v>1</v>
      </c>
      <c r="L86" s="67" t="n">
        <v>0</v>
      </c>
      <c r="M86" s="67" t="n">
        <v>0</v>
      </c>
      <c r="N86" s="67" t="n">
        <v>0</v>
      </c>
      <c r="O86" s="67" t="n">
        <v>0</v>
      </c>
      <c r="P86" s="37" t="n">
        <f aca="false">J86*$J$2+K86*$K$2+L86*$L$2+M86*$M$2+N86*$N$2+O86*$O$2</f>
        <v>1.008</v>
      </c>
      <c r="Q86" s="38"/>
      <c r="R86" s="38"/>
      <c r="S86" s="31"/>
      <c r="T86" s="31"/>
      <c r="U86" s="31"/>
      <c r="V86" s="31"/>
    </row>
    <row r="87" customFormat="false" ht="15.75" hidden="false" customHeight="false" outlineLevel="0" collapsed="false">
      <c r="A87" s="142"/>
      <c r="B87" s="120" t="s">
        <v>5722</v>
      </c>
      <c r="C87" s="87"/>
      <c r="D87" s="87" t="s">
        <v>5724</v>
      </c>
      <c r="E87" s="87"/>
      <c r="F87" s="144"/>
      <c r="G87" s="145" t="n">
        <v>139</v>
      </c>
      <c r="H87" s="87" t="s">
        <v>5716</v>
      </c>
      <c r="I87" s="87" t="s">
        <v>5053</v>
      </c>
      <c r="J87" s="87" t="n">
        <v>0</v>
      </c>
      <c r="K87" s="87" t="n">
        <v>1</v>
      </c>
      <c r="L87" s="87" t="n">
        <v>0</v>
      </c>
      <c r="M87" s="87" t="n">
        <v>4</v>
      </c>
      <c r="N87" s="87" t="n">
        <v>1</v>
      </c>
      <c r="O87" s="87" t="n">
        <v>0</v>
      </c>
      <c r="P87" s="105" t="n">
        <f aca="false">J87*$J$2+K87*$K$2+L87*$L$2+M87*$M$2+N87*$N$2+O87*$O$2</f>
        <v>95.978</v>
      </c>
      <c r="Q87" s="129"/>
      <c r="R87" s="129"/>
      <c r="S87" s="106"/>
      <c r="T87" s="106"/>
      <c r="U87" s="106"/>
      <c r="V87" s="106"/>
    </row>
    <row r="88" customFormat="false" ht="15.75" hidden="false" customHeight="false" outlineLevel="0" collapsed="false">
      <c r="A88" s="142"/>
      <c r="B88" s="146" t="s">
        <v>5725</v>
      </c>
      <c r="C88" s="146"/>
      <c r="D88" s="146" t="s">
        <v>5726</v>
      </c>
      <c r="E88" s="146"/>
      <c r="F88" s="146"/>
      <c r="G88" s="147" t="n">
        <f aca="false">SUM(G26:G29)</f>
        <v>0.0747967758971953</v>
      </c>
      <c r="H88" s="146" t="s">
        <v>5725</v>
      </c>
      <c r="I88" s="146" t="s">
        <v>5070</v>
      </c>
      <c r="J88" s="146" t="n">
        <v>0</v>
      </c>
      <c r="K88" s="146" t="n">
        <v>1</v>
      </c>
      <c r="L88" s="146" t="n">
        <v>0</v>
      </c>
      <c r="M88" s="146" t="n">
        <v>7</v>
      </c>
      <c r="N88" s="146" t="n">
        <v>2</v>
      </c>
      <c r="O88" s="146" t="n">
        <v>0</v>
      </c>
      <c r="P88" s="56" t="n">
        <f aca="false">J88*$J$2+K88*$K$2+L88*$L$2+M88*$M$2+N88*$N$2+O88*$O$2</f>
        <v>174.949</v>
      </c>
      <c r="Q88" s="148"/>
      <c r="R88" s="148"/>
      <c r="S88" s="149"/>
      <c r="T88" s="149"/>
      <c r="U88" s="149"/>
      <c r="V88" s="149"/>
    </row>
    <row r="89" customFormat="false" ht="15.75" hidden="false" customHeight="false" outlineLevel="0" collapsed="false">
      <c r="A89" s="142"/>
      <c r="B89" s="150" t="s">
        <v>5727</v>
      </c>
      <c r="C89" s="150"/>
      <c r="D89" s="150" t="s">
        <v>5726</v>
      </c>
      <c r="E89" s="150"/>
      <c r="F89" s="150"/>
      <c r="G89" s="151" t="n">
        <f aca="false">SUM(G31:G34)</f>
        <v>0.43583243699723</v>
      </c>
      <c r="H89" s="150" t="s">
        <v>5727</v>
      </c>
      <c r="I89" s="150" t="s">
        <v>5070</v>
      </c>
      <c r="J89" s="150" t="n">
        <v>0</v>
      </c>
      <c r="K89" s="150" t="n">
        <v>1</v>
      </c>
      <c r="L89" s="150" t="n">
        <v>0</v>
      </c>
      <c r="M89" s="150" t="n">
        <v>7</v>
      </c>
      <c r="N89" s="150" t="n">
        <v>2</v>
      </c>
      <c r="O89" s="150" t="n">
        <v>0</v>
      </c>
      <c r="P89" s="152" t="n">
        <f aca="false">J89*$J$2+K89*$K$2+L89*$L$2+M89*$M$2+N89*$N$2+O89*$O$2</f>
        <v>174.949</v>
      </c>
      <c r="Q89" s="153"/>
      <c r="R89" s="153"/>
      <c r="S89" s="154"/>
      <c r="T89" s="154"/>
      <c r="U89" s="154"/>
      <c r="V89" s="154"/>
    </row>
    <row r="90" customFormat="false" ht="15.75" hidden="false" customHeight="false" outlineLevel="0" collapsed="false">
      <c r="A90" s="142"/>
      <c r="B90" s="146" t="s">
        <v>5728</v>
      </c>
      <c r="C90" s="146"/>
      <c r="D90" s="146" t="s">
        <v>5718</v>
      </c>
      <c r="E90" s="146"/>
      <c r="F90" s="146"/>
      <c r="G90" s="147" t="n">
        <f aca="false">SUM(G5:G24)</f>
        <v>5.56851993662246</v>
      </c>
      <c r="H90" s="146" t="s">
        <v>5728</v>
      </c>
      <c r="I90" s="146" t="s">
        <v>4640</v>
      </c>
      <c r="J90" s="146" t="n">
        <v>0</v>
      </c>
      <c r="K90" s="146" t="n">
        <v>2</v>
      </c>
      <c r="L90" s="146" t="n">
        <v>0</v>
      </c>
      <c r="M90" s="155" t="n">
        <v>1</v>
      </c>
      <c r="N90" s="155" t="n">
        <v>0</v>
      </c>
      <c r="O90" s="155" t="n">
        <v>0</v>
      </c>
      <c r="P90" s="156" t="n">
        <f aca="false">J90*$J$2+K90*$K$2+L90*$L$2+M90*$M$2+N90*$N$2+O90*$O$2</f>
        <v>18.015</v>
      </c>
      <c r="Q90" s="148"/>
      <c r="R90" s="148"/>
      <c r="S90" s="149"/>
      <c r="T90" s="149"/>
      <c r="U90" s="149"/>
      <c r="V90" s="149"/>
    </row>
    <row r="91" customFormat="false" ht="15" hidden="false" customHeight="false" outlineLevel="0" collapsed="false">
      <c r="A91" s="142"/>
      <c r="B91" s="67" t="s">
        <v>5729</v>
      </c>
      <c r="C91" s="67"/>
      <c r="D91" s="67" t="s">
        <v>5726</v>
      </c>
      <c r="E91" s="67"/>
      <c r="F91" s="67"/>
      <c r="G91" s="157" t="n">
        <f aca="false">G89+G88</f>
        <v>0.510629212894426</v>
      </c>
      <c r="H91" s="67" t="s">
        <v>5729</v>
      </c>
      <c r="I91" s="67" t="s">
        <v>5053</v>
      </c>
      <c r="J91" s="67" t="n">
        <v>0</v>
      </c>
      <c r="K91" s="67" t="n">
        <v>1</v>
      </c>
      <c r="L91" s="67" t="n">
        <v>0</v>
      </c>
      <c r="M91" s="67" t="n">
        <v>4</v>
      </c>
      <c r="N91" s="67" t="n">
        <v>1</v>
      </c>
      <c r="O91" s="67" t="n">
        <v>0</v>
      </c>
      <c r="P91" s="37" t="n">
        <f aca="false">J91*$J$2+K91*$K$2+L91*$L$2+M91*$M$2+N91*$N$2+O91*$O$2</f>
        <v>95.978</v>
      </c>
      <c r="Q91" s="158"/>
      <c r="R91" s="158"/>
      <c r="S91" s="158"/>
      <c r="T91" s="158"/>
      <c r="U91" s="158"/>
      <c r="V91" s="158"/>
    </row>
    <row r="92" customFormat="false" ht="15.75" hidden="false" customHeight="false" outlineLevel="0" collapsed="false">
      <c r="A92" s="142"/>
      <c r="B92" s="159" t="s">
        <v>5722</v>
      </c>
      <c r="C92" s="87"/>
      <c r="D92" s="87" t="s">
        <v>5724</v>
      </c>
      <c r="E92" s="87"/>
      <c r="F92" s="87"/>
      <c r="G92" s="160" t="n">
        <v>139</v>
      </c>
      <c r="H92" s="87" t="s">
        <v>5716</v>
      </c>
      <c r="I92" s="87" t="s">
        <v>5053</v>
      </c>
      <c r="J92" s="87" t="n">
        <v>0</v>
      </c>
      <c r="K92" s="87" t="n">
        <v>1</v>
      </c>
      <c r="L92" s="87" t="n">
        <v>0</v>
      </c>
      <c r="M92" s="87" t="n">
        <v>4</v>
      </c>
      <c r="N92" s="87" t="n">
        <v>1</v>
      </c>
      <c r="O92" s="87" t="n">
        <v>0</v>
      </c>
      <c r="P92" s="105" t="n">
        <f aca="false">J92*$J$2+K92*$K$2+L92*$L$2+M92*$M$2+N92*$N$2+O92*$O$2</f>
        <v>95.978</v>
      </c>
      <c r="Q92" s="106"/>
      <c r="R92" s="106"/>
      <c r="S92" s="106"/>
      <c r="T92" s="106"/>
      <c r="U92" s="106"/>
      <c r="V92" s="106"/>
    </row>
    <row r="93" customFormat="false" ht="15" hidden="false" customHeight="false" outlineLevel="0" collapsed="false">
      <c r="A93" s="161" t="s">
        <v>5730</v>
      </c>
      <c r="B93" s="3" t="s">
        <v>5731</v>
      </c>
    </row>
    <row r="94" customFormat="false" ht="15" hidden="false" customHeight="false" outlineLevel="0" collapsed="false">
      <c r="A94" s="162" t="s">
        <v>5732</v>
      </c>
      <c r="B94" s="3" t="s">
        <v>5733</v>
      </c>
    </row>
    <row r="95" customFormat="false" ht="15" hidden="false" customHeight="false" outlineLevel="0" collapsed="false">
      <c r="A95" s="162" t="s">
        <v>5734</v>
      </c>
      <c r="B95" s="163" t="s">
        <v>5735</v>
      </c>
    </row>
  </sheetData>
  <mergeCells count="12">
    <mergeCell ref="J1:O1"/>
    <mergeCell ref="A4:A84"/>
    <mergeCell ref="B4:B24"/>
    <mergeCell ref="B25:B29"/>
    <mergeCell ref="B30:B34"/>
    <mergeCell ref="B35:B36"/>
    <mergeCell ref="B37:B38"/>
    <mergeCell ref="B39:B40"/>
    <mergeCell ref="B41:B42"/>
    <mergeCell ref="B43:B53"/>
    <mergeCell ref="B54:B79"/>
    <mergeCell ref="A85:A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39" activeCellId="0" sqref="C3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33.13"/>
    <col collapsed="false" customWidth="true" hidden="false" outlineLevel="0" max="2" min="2" style="1" width="31.58"/>
    <col collapsed="false" customWidth="true" hidden="false" outlineLevel="0" max="3" min="3" style="1" width="15.2"/>
    <col collapsed="false" customWidth="true" hidden="false" outlineLevel="0" max="4" min="4" style="1" width="14.68"/>
    <col collapsed="false" customWidth="true" hidden="false" outlineLevel="0" max="5" min="5" style="1" width="8.31"/>
    <col collapsed="false" customWidth="true" hidden="false" outlineLevel="0" max="6" min="6" style="1" width="10.52"/>
    <col collapsed="false" customWidth="true" hidden="false" outlineLevel="0" max="7" min="7" style="1" width="12.2"/>
    <col collapsed="false" customWidth="true" hidden="false" outlineLevel="0" max="8" min="8" style="1" width="11.17"/>
    <col collapsed="false" customWidth="true" hidden="false" outlineLevel="0" max="9" min="9" style="1" width="13.51"/>
    <col collapsed="false" customWidth="true" hidden="false" outlineLevel="0" max="10" min="10" style="1" width="15.07"/>
    <col collapsed="false" customWidth="true" hidden="false" outlineLevel="0" max="13" min="11" style="1" width="8.31"/>
  </cols>
  <sheetData>
    <row r="1" customFormat="false" ht="20.25" hidden="false" customHeight="false" outlineLevel="0" collapsed="false">
      <c r="A1" s="164" t="s">
        <v>5640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customFormat="false" ht="15" hidden="false" customHeight="false" outlineLevel="0" collapsed="false">
      <c r="A2" s="8"/>
      <c r="B2" s="8"/>
      <c r="C2" s="8"/>
      <c r="D2" s="8"/>
    </row>
    <row r="3" customFormat="false" ht="15" hidden="false" customHeight="false" outlineLevel="0" collapsed="false">
      <c r="A3" s="166" t="s">
        <v>5736</v>
      </c>
      <c r="B3" s="166" t="s">
        <v>5737</v>
      </c>
      <c r="C3" s="166" t="s">
        <v>5738</v>
      </c>
      <c r="D3" s="166" t="s">
        <v>5739</v>
      </c>
      <c r="E3" s="6"/>
      <c r="F3" s="6"/>
      <c r="G3" s="6"/>
    </row>
    <row r="4" customFormat="false" ht="15.75" hidden="false" customHeight="false" outlineLevel="0" collapsed="false">
      <c r="A4" s="166"/>
      <c r="B4" s="166"/>
      <c r="C4" s="166"/>
      <c r="D4" s="166"/>
      <c r="E4" s="6"/>
      <c r="F4" s="167" t="s">
        <v>5740</v>
      </c>
      <c r="G4" s="6"/>
    </row>
    <row r="5" customFormat="false" ht="16.5" hidden="false" customHeight="false" outlineLevel="0" collapsed="false">
      <c r="A5" s="168" t="s">
        <v>5741</v>
      </c>
      <c r="B5" s="169" t="n">
        <v>4639221</v>
      </c>
      <c r="C5" s="170" t="n">
        <v>4.639221</v>
      </c>
      <c r="D5" s="171" t="n">
        <v>0.031</v>
      </c>
      <c r="E5" s="6"/>
      <c r="F5" s="172" t="s">
        <v>5742</v>
      </c>
      <c r="G5" s="172" t="s">
        <v>5743</v>
      </c>
    </row>
    <row r="6" customFormat="false" ht="15.75" hidden="false" customHeight="false" outlineLevel="0" collapsed="false">
      <c r="A6" s="168" t="s">
        <v>5744</v>
      </c>
      <c r="B6" s="169" t="n">
        <v>2314078</v>
      </c>
      <c r="C6" s="170" t="n">
        <v>2.314078</v>
      </c>
      <c r="D6" s="171" t="n">
        <v>0.028</v>
      </c>
      <c r="E6" s="6"/>
      <c r="F6" s="173" t="s">
        <v>5745</v>
      </c>
      <c r="G6" s="173" t="n">
        <v>20.67</v>
      </c>
      <c r="H6" s="174"/>
    </row>
    <row r="7" customFormat="false" ht="15" hidden="false" customHeight="false" outlineLevel="0" collapsed="false">
      <c r="A7" s="168" t="s">
        <v>5746</v>
      </c>
      <c r="B7" s="169" t="n">
        <v>4951371</v>
      </c>
      <c r="C7" s="170" t="n">
        <v>4.951371</v>
      </c>
      <c r="D7" s="171" t="n">
        <v>0.0355</v>
      </c>
      <c r="E7" s="6"/>
      <c r="F7" s="173" t="s">
        <v>5747</v>
      </c>
      <c r="G7" s="173" t="n">
        <v>20.55</v>
      </c>
      <c r="H7" s="174"/>
    </row>
    <row r="8" customFormat="false" ht="15" hidden="false" customHeight="false" outlineLevel="0" collapsed="false">
      <c r="A8" s="168" t="s">
        <v>5748</v>
      </c>
      <c r="B8" s="169" t="n">
        <v>5102455</v>
      </c>
      <c r="C8" s="170" t="n">
        <v>5.102455</v>
      </c>
      <c r="D8" s="171" t="n">
        <v>0.05</v>
      </c>
      <c r="E8" s="6"/>
      <c r="F8" s="173" t="s">
        <v>5749</v>
      </c>
      <c r="G8" s="173" t="n">
        <v>29.13</v>
      </c>
      <c r="H8" s="174"/>
    </row>
    <row r="9" customFormat="false" ht="15" hidden="false" customHeight="false" outlineLevel="0" collapsed="false">
      <c r="A9" s="168" t="s">
        <v>5750</v>
      </c>
      <c r="B9" s="169" t="n">
        <v>3281945</v>
      </c>
      <c r="C9" s="170" t="n">
        <v>3.281945</v>
      </c>
      <c r="D9" s="171" t="n">
        <v>0.031</v>
      </c>
      <c r="E9" s="6"/>
      <c r="F9" s="175" t="s">
        <v>3722</v>
      </c>
      <c r="G9" s="175" t="n">
        <v>29.63</v>
      </c>
      <c r="H9" s="174"/>
    </row>
    <row r="10" customFormat="false" ht="15" hidden="false" customHeight="false" outlineLevel="0" collapsed="false">
      <c r="A10" s="176" t="s">
        <v>5751</v>
      </c>
      <c r="B10" s="175" t="n">
        <v>3282708</v>
      </c>
      <c r="C10" s="177" t="n">
        <v>3.282708</v>
      </c>
      <c r="D10" s="178" t="n">
        <v>0.01</v>
      </c>
      <c r="E10" s="179"/>
      <c r="F10" s="179"/>
      <c r="G10" s="179"/>
      <c r="H10" s="7"/>
      <c r="I10" s="16"/>
      <c r="J10" s="16"/>
      <c r="K10" s="16"/>
      <c r="L10" s="16"/>
      <c r="M10" s="16"/>
    </row>
    <row r="11" customFormat="false" ht="15" hidden="false" customHeight="false" outlineLevel="0" collapsed="false">
      <c r="A11" s="6"/>
      <c r="B11" s="6"/>
      <c r="C11" s="173"/>
      <c r="D11" s="6"/>
      <c r="E11" s="6"/>
      <c r="F11" s="6"/>
      <c r="G11" s="6"/>
    </row>
    <row r="12" customFormat="false" ht="15" hidden="false" customHeight="false" outlineLevel="0" collapsed="false">
      <c r="A12" s="180" t="s">
        <v>5752</v>
      </c>
      <c r="B12" s="181" t="n">
        <v>2982397</v>
      </c>
      <c r="C12" s="181" t="n">
        <f aca="false">B12/1000000</f>
        <v>2.982397</v>
      </c>
      <c r="D12" s="182" t="n">
        <f aca="false">C12*0.0078</f>
        <v>0.0232626966</v>
      </c>
      <c r="E12" s="6"/>
      <c r="F12" s="6"/>
      <c r="G12" s="6"/>
    </row>
    <row r="15" customFormat="false" ht="23.25" hidden="false" customHeight="false" outlineLevel="0" collapsed="false">
      <c r="A15" s="164" t="s">
        <v>5753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</row>
    <row r="16" customFormat="false" ht="20.25" hidden="false" customHeight="false" outlineLevel="0" collapsed="false">
      <c r="A16" s="183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</row>
    <row r="17" customFormat="false" ht="15" hidden="false" customHeight="true" outlineLevel="0" collapsed="false">
      <c r="A17" s="6"/>
      <c r="B17" s="6"/>
      <c r="C17" s="6"/>
      <c r="D17" s="6"/>
      <c r="E17" s="6"/>
      <c r="F17" s="185" t="s">
        <v>5754</v>
      </c>
      <c r="G17" s="185" t="s">
        <v>5755</v>
      </c>
      <c r="H17" s="185" t="s">
        <v>5756</v>
      </c>
      <c r="I17" s="6"/>
      <c r="J17" s="173"/>
      <c r="K17" s="173"/>
      <c r="L17" s="173"/>
      <c r="M17" s="173"/>
      <c r="N17" s="186"/>
    </row>
    <row r="18" customFormat="false" ht="15" hidden="false" customHeight="false" outlineLevel="0" collapsed="false">
      <c r="A18" s="187" t="s">
        <v>5757</v>
      </c>
      <c r="B18" s="187" t="s">
        <v>5758</v>
      </c>
      <c r="C18" s="167"/>
      <c r="D18" s="167"/>
      <c r="E18" s="167"/>
      <c r="F18" s="185"/>
      <c r="G18" s="185"/>
      <c r="H18" s="185"/>
      <c r="I18" s="167"/>
      <c r="J18" s="188" t="s">
        <v>5745</v>
      </c>
      <c r="K18" s="188" t="s">
        <v>3722</v>
      </c>
      <c r="L18" s="188" t="s">
        <v>5749</v>
      </c>
      <c r="M18" s="188" t="s">
        <v>5759</v>
      </c>
      <c r="N18" s="189"/>
    </row>
    <row r="19" customFormat="false" ht="15" hidden="false" customHeight="false" outlineLevel="0" collapsed="false">
      <c r="A19" s="6" t="s">
        <v>5760</v>
      </c>
      <c r="B19" s="6" t="s">
        <v>5761</v>
      </c>
      <c r="C19" s="6" t="s">
        <v>5749</v>
      </c>
      <c r="D19" s="6" t="s">
        <v>3722</v>
      </c>
      <c r="E19" s="6" t="s">
        <v>3722</v>
      </c>
      <c r="F19" s="173" t="n">
        <v>44970</v>
      </c>
      <c r="G19" s="190" t="n">
        <v>0.0501</v>
      </c>
      <c r="H19" s="190" t="n">
        <v>0.4491</v>
      </c>
      <c r="I19" s="6"/>
      <c r="J19" s="173" t="n">
        <v>0</v>
      </c>
      <c r="K19" s="173" t="n">
        <v>89940</v>
      </c>
      <c r="L19" s="173" t="n">
        <v>44970</v>
      </c>
      <c r="M19" s="173" t="n">
        <v>0</v>
      </c>
      <c r="N19" s="186"/>
    </row>
    <row r="20" customFormat="false" ht="15" hidden="false" customHeight="false" outlineLevel="0" collapsed="false">
      <c r="A20" s="6" t="s">
        <v>5760</v>
      </c>
      <c r="B20" s="6" t="s">
        <v>5762</v>
      </c>
      <c r="C20" s="6" t="s">
        <v>5749</v>
      </c>
      <c r="D20" s="6" t="s">
        <v>3722</v>
      </c>
      <c r="E20" s="6" t="s">
        <v>5745</v>
      </c>
      <c r="F20" s="173" t="n">
        <v>12969</v>
      </c>
      <c r="G20" s="190" t="n">
        <v>0.0144</v>
      </c>
      <c r="H20" s="190" t="n">
        <v>0.1295</v>
      </c>
      <c r="I20" s="6"/>
      <c r="J20" s="173" t="n">
        <v>12969</v>
      </c>
      <c r="K20" s="173" t="n">
        <v>12969</v>
      </c>
      <c r="L20" s="173" t="n">
        <v>12969</v>
      </c>
      <c r="M20" s="173" t="n">
        <v>0</v>
      </c>
      <c r="N20" s="186"/>
    </row>
    <row r="21" customFormat="false" ht="15" hidden="false" customHeight="false" outlineLevel="0" collapsed="false">
      <c r="A21" s="6" t="s">
        <v>5760</v>
      </c>
      <c r="B21" s="6" t="s">
        <v>5763</v>
      </c>
      <c r="C21" s="6" t="s">
        <v>5749</v>
      </c>
      <c r="D21" s="6" t="s">
        <v>3722</v>
      </c>
      <c r="E21" s="6" t="s">
        <v>5749</v>
      </c>
      <c r="F21" s="173" t="n">
        <v>32113</v>
      </c>
      <c r="G21" s="190" t="n">
        <v>0.0358</v>
      </c>
      <c r="H21" s="190" t="n">
        <v>0.3207</v>
      </c>
      <c r="I21" s="6"/>
      <c r="J21" s="173" t="n">
        <v>0</v>
      </c>
      <c r="K21" s="173" t="n">
        <v>32113</v>
      </c>
      <c r="L21" s="173" t="n">
        <v>64226</v>
      </c>
      <c r="M21" s="173" t="n">
        <v>0</v>
      </c>
      <c r="N21" s="186"/>
    </row>
    <row r="22" customFormat="false" ht="15" hidden="false" customHeight="false" outlineLevel="0" collapsed="false">
      <c r="A22" s="6" t="s">
        <v>5760</v>
      </c>
      <c r="B22" s="6" t="s">
        <v>5764</v>
      </c>
      <c r="C22" s="6" t="s">
        <v>5749</v>
      </c>
      <c r="D22" s="6" t="s">
        <v>3722</v>
      </c>
      <c r="E22" s="6" t="s">
        <v>5747</v>
      </c>
      <c r="F22" s="173" t="n">
        <v>10086</v>
      </c>
      <c r="G22" s="190" t="n">
        <v>0.0112</v>
      </c>
      <c r="H22" s="190" t="n">
        <v>0.1007</v>
      </c>
      <c r="I22" s="6"/>
      <c r="J22" s="173" t="n">
        <v>0</v>
      </c>
      <c r="K22" s="173" t="n">
        <v>10086</v>
      </c>
      <c r="L22" s="173" t="n">
        <v>10086</v>
      </c>
      <c r="M22" s="173" t="n">
        <v>10086</v>
      </c>
      <c r="N22" s="186"/>
    </row>
    <row r="23" customFormat="false" ht="15" hidden="false" customHeight="false" outlineLevel="0" collapsed="false">
      <c r="A23" s="6"/>
      <c r="B23" s="6"/>
      <c r="C23" s="6"/>
      <c r="D23" s="6"/>
      <c r="E23" s="6"/>
      <c r="F23" s="191" t="n">
        <v>100138</v>
      </c>
      <c r="G23" s="192" t="n">
        <v>0.1115</v>
      </c>
      <c r="H23" s="193" t="n">
        <v>1</v>
      </c>
      <c r="I23" s="6"/>
      <c r="J23" s="6"/>
      <c r="K23" s="6"/>
      <c r="L23" s="6"/>
      <c r="M23" s="6"/>
      <c r="N23" s="186"/>
    </row>
    <row r="24" customFormat="false" ht="15" hidden="false" customHeight="false" outlineLevel="0" collapsed="false">
      <c r="A24" s="6" t="s">
        <v>5765</v>
      </c>
      <c r="B24" s="6" t="s">
        <v>5766</v>
      </c>
      <c r="C24" s="6" t="s">
        <v>3722</v>
      </c>
      <c r="D24" s="6" t="s">
        <v>5749</v>
      </c>
      <c r="E24" s="6" t="s">
        <v>5745</v>
      </c>
      <c r="F24" s="173" t="n">
        <v>4271</v>
      </c>
      <c r="G24" s="190" t="n">
        <v>0.0047</v>
      </c>
      <c r="H24" s="190" t="n">
        <v>0.0677</v>
      </c>
      <c r="I24" s="6"/>
      <c r="J24" s="173" t="n">
        <v>4271</v>
      </c>
      <c r="K24" s="173" t="n">
        <v>4271</v>
      </c>
      <c r="L24" s="173" t="n">
        <v>4271</v>
      </c>
      <c r="M24" s="173" t="n">
        <v>0</v>
      </c>
      <c r="N24" s="186"/>
    </row>
    <row r="25" customFormat="false" ht="15" hidden="false" customHeight="false" outlineLevel="0" collapsed="false">
      <c r="A25" s="6" t="s">
        <v>5765</v>
      </c>
      <c r="B25" s="6" t="s">
        <v>5767</v>
      </c>
      <c r="C25" s="6" t="s">
        <v>5745</v>
      </c>
      <c r="D25" s="6" t="s">
        <v>5749</v>
      </c>
      <c r="E25" s="6" t="s">
        <v>5749</v>
      </c>
      <c r="F25" s="173" t="n">
        <v>3193</v>
      </c>
      <c r="G25" s="190" t="n">
        <v>0.0035</v>
      </c>
      <c r="H25" s="190" t="n">
        <v>0.0506</v>
      </c>
      <c r="I25" s="6"/>
      <c r="J25" s="173" t="n">
        <v>3193</v>
      </c>
      <c r="K25" s="173" t="n">
        <v>0</v>
      </c>
      <c r="L25" s="173" t="n">
        <v>6386</v>
      </c>
      <c r="M25" s="173" t="n">
        <v>0</v>
      </c>
      <c r="N25" s="186"/>
    </row>
    <row r="26" customFormat="false" ht="15" hidden="false" customHeight="false" outlineLevel="0" collapsed="false">
      <c r="A26" s="6" t="s">
        <v>5765</v>
      </c>
      <c r="B26" s="6" t="s">
        <v>5768</v>
      </c>
      <c r="C26" s="6" t="s">
        <v>3722</v>
      </c>
      <c r="D26" s="6" t="s">
        <v>5749</v>
      </c>
      <c r="E26" s="6" t="s">
        <v>5747</v>
      </c>
      <c r="F26" s="173" t="n">
        <v>12099</v>
      </c>
      <c r="G26" s="190" t="n">
        <v>0.0134</v>
      </c>
      <c r="H26" s="190" t="n">
        <v>0.1918</v>
      </c>
      <c r="I26" s="6"/>
      <c r="J26" s="173" t="n">
        <v>0</v>
      </c>
      <c r="K26" s="173" t="n">
        <v>12099</v>
      </c>
      <c r="L26" s="173" t="n">
        <v>12099</v>
      </c>
      <c r="M26" s="173" t="n">
        <v>12099</v>
      </c>
      <c r="N26" s="186"/>
    </row>
    <row r="27" customFormat="false" ht="15" hidden="false" customHeight="false" outlineLevel="0" collapsed="false">
      <c r="A27" s="6" t="s">
        <v>5765</v>
      </c>
      <c r="B27" s="6" t="s">
        <v>5769</v>
      </c>
      <c r="C27" s="6" t="s">
        <v>3722</v>
      </c>
      <c r="D27" s="6" t="s">
        <v>5749</v>
      </c>
      <c r="E27" s="6" t="s">
        <v>5749</v>
      </c>
      <c r="F27" s="173" t="n">
        <v>16592</v>
      </c>
      <c r="G27" s="190" t="n">
        <v>0.0185</v>
      </c>
      <c r="H27" s="190" t="n">
        <v>0.263</v>
      </c>
      <c r="I27" s="6"/>
      <c r="J27" s="173" t="n">
        <v>0</v>
      </c>
      <c r="K27" s="173" t="n">
        <v>16592</v>
      </c>
      <c r="L27" s="173" t="n">
        <v>33184</v>
      </c>
      <c r="M27" s="173" t="n">
        <v>0</v>
      </c>
      <c r="N27" s="186"/>
      <c r="O27" s="194" t="s">
        <v>5770</v>
      </c>
    </row>
    <row r="28" customFormat="false" ht="15" hidden="false" customHeight="false" outlineLevel="0" collapsed="false">
      <c r="A28" s="6" t="s">
        <v>5765</v>
      </c>
      <c r="B28" s="6" t="s">
        <v>5771</v>
      </c>
      <c r="C28" s="6" t="s">
        <v>5745</v>
      </c>
      <c r="D28" s="6" t="s">
        <v>5749</v>
      </c>
      <c r="E28" s="6" t="s">
        <v>5745</v>
      </c>
      <c r="F28" s="173" t="n">
        <v>2037</v>
      </c>
      <c r="G28" s="190" t="n">
        <v>0.0022</v>
      </c>
      <c r="H28" s="190" t="n">
        <v>0.0323</v>
      </c>
      <c r="I28" s="6"/>
      <c r="J28" s="173" t="n">
        <v>4074</v>
      </c>
      <c r="K28" s="173" t="n">
        <v>0</v>
      </c>
      <c r="L28" s="173" t="n">
        <v>2037</v>
      </c>
      <c r="M28" s="173" t="n">
        <v>0</v>
      </c>
      <c r="N28" s="186"/>
    </row>
    <row r="29" customFormat="false" ht="15" hidden="false" customHeight="false" outlineLevel="0" collapsed="false">
      <c r="A29" s="6" t="s">
        <v>5765</v>
      </c>
      <c r="B29" s="6" t="s">
        <v>5772</v>
      </c>
      <c r="C29" s="6" t="s">
        <v>3722</v>
      </c>
      <c r="D29" s="6" t="s">
        <v>5749</v>
      </c>
      <c r="E29" s="6" t="s">
        <v>3722</v>
      </c>
      <c r="F29" s="173" t="n">
        <v>24887</v>
      </c>
      <c r="G29" s="190" t="n">
        <v>0.0277</v>
      </c>
      <c r="H29" s="190" t="n">
        <v>0.3945</v>
      </c>
      <c r="I29" s="6"/>
      <c r="J29" s="173" t="n">
        <v>0</v>
      </c>
      <c r="K29" s="173" t="n">
        <v>49774</v>
      </c>
      <c r="L29" s="173" t="n">
        <v>24887</v>
      </c>
      <c r="M29" s="173" t="n">
        <v>0</v>
      </c>
      <c r="N29" s="186"/>
    </row>
    <row r="30" customFormat="false" ht="15" hidden="false" customHeight="false" outlineLevel="0" collapsed="false">
      <c r="A30" s="6"/>
      <c r="B30" s="6"/>
      <c r="C30" s="6"/>
      <c r="D30" s="6"/>
      <c r="E30" s="6"/>
      <c r="F30" s="191" t="n">
        <v>63079</v>
      </c>
      <c r="G30" s="193" t="n">
        <v>0.07</v>
      </c>
      <c r="H30" s="193" t="n">
        <v>0.9999</v>
      </c>
      <c r="I30" s="6"/>
      <c r="J30" s="6"/>
      <c r="K30" s="6"/>
      <c r="L30" s="6"/>
      <c r="M30" s="6"/>
      <c r="N30" s="186"/>
    </row>
    <row r="31" customFormat="false" ht="15" hidden="false" customHeight="false" outlineLevel="0" collapsed="false">
      <c r="A31" s="6" t="s">
        <v>5773</v>
      </c>
      <c r="B31" s="6" t="s">
        <v>5774</v>
      </c>
      <c r="C31" s="6" t="s">
        <v>5745</v>
      </c>
      <c r="D31" s="6" t="s">
        <v>5745</v>
      </c>
      <c r="E31" s="6" t="s">
        <v>3722</v>
      </c>
      <c r="F31" s="173" t="n">
        <v>13444</v>
      </c>
      <c r="G31" s="190" t="n">
        <v>0.0149</v>
      </c>
      <c r="H31" s="190" t="n">
        <v>0.5384</v>
      </c>
      <c r="I31" s="6"/>
      <c r="J31" s="173" t="n">
        <v>26888</v>
      </c>
      <c r="K31" s="173" t="n">
        <v>13444</v>
      </c>
      <c r="L31" s="173" t="n">
        <v>0</v>
      </c>
      <c r="M31" s="173" t="n">
        <v>0</v>
      </c>
      <c r="N31" s="186"/>
    </row>
    <row r="32" customFormat="false" ht="15" hidden="false" customHeight="false" outlineLevel="0" collapsed="false">
      <c r="A32" s="6" t="s">
        <v>5773</v>
      </c>
      <c r="B32" s="6" t="s">
        <v>5775</v>
      </c>
      <c r="C32" s="6" t="s">
        <v>5745</v>
      </c>
      <c r="D32" s="6" t="s">
        <v>5745</v>
      </c>
      <c r="E32" s="6" t="s">
        <v>5747</v>
      </c>
      <c r="F32" s="173" t="n">
        <v>11527</v>
      </c>
      <c r="G32" s="190" t="n">
        <v>0.0128</v>
      </c>
      <c r="H32" s="190" t="n">
        <v>0.4616</v>
      </c>
      <c r="I32" s="6"/>
      <c r="J32" s="173" t="n">
        <v>23054</v>
      </c>
      <c r="K32" s="173" t="n">
        <v>0</v>
      </c>
      <c r="L32" s="173" t="n">
        <v>0</v>
      </c>
      <c r="M32" s="173" t="n">
        <v>11527</v>
      </c>
      <c r="N32" s="186"/>
    </row>
    <row r="33" customFormat="false" ht="15" hidden="false" customHeight="false" outlineLevel="0" collapsed="false">
      <c r="A33" s="6"/>
      <c r="B33" s="6"/>
      <c r="C33" s="6"/>
      <c r="D33" s="6"/>
      <c r="E33" s="6"/>
      <c r="F33" s="191" t="n">
        <v>24971</v>
      </c>
      <c r="G33" s="193" t="n">
        <v>0.0277</v>
      </c>
      <c r="H33" s="193" t="n">
        <v>1</v>
      </c>
      <c r="I33" s="6"/>
      <c r="J33" s="6"/>
      <c r="K33" s="6"/>
      <c r="L33" s="6"/>
      <c r="M33" s="6"/>
      <c r="N33" s="186"/>
    </row>
    <row r="34" customFormat="false" ht="15" hidden="false" customHeight="false" outlineLevel="0" collapsed="false">
      <c r="A34" s="6" t="s">
        <v>5776</v>
      </c>
      <c r="B34" s="6" t="s">
        <v>5777</v>
      </c>
      <c r="C34" s="6" t="s">
        <v>5749</v>
      </c>
      <c r="D34" s="6" t="s">
        <v>5745</v>
      </c>
      <c r="E34" s="6" t="s">
        <v>3722</v>
      </c>
      <c r="F34" s="173" t="n">
        <v>21542</v>
      </c>
      <c r="G34" s="190" t="n">
        <v>0.024</v>
      </c>
      <c r="H34" s="190" t="n">
        <v>0.4775</v>
      </c>
      <c r="I34" s="6"/>
      <c r="J34" s="173" t="n">
        <v>21542</v>
      </c>
      <c r="K34" s="173" t="n">
        <v>21542</v>
      </c>
      <c r="L34" s="173" t="n">
        <v>21542</v>
      </c>
      <c r="M34" s="173" t="n">
        <v>0</v>
      </c>
      <c r="N34" s="186"/>
    </row>
    <row r="35" customFormat="false" ht="15" hidden="false" customHeight="false" outlineLevel="0" collapsed="false">
      <c r="A35" s="6" t="s">
        <v>5776</v>
      </c>
      <c r="B35" s="6" t="s">
        <v>5778</v>
      </c>
      <c r="C35" s="6" t="s">
        <v>5749</v>
      </c>
      <c r="D35" s="6" t="s">
        <v>5745</v>
      </c>
      <c r="E35" s="6" t="s">
        <v>5747</v>
      </c>
      <c r="F35" s="173" t="n">
        <v>23576</v>
      </c>
      <c r="G35" s="190" t="n">
        <v>0.0263</v>
      </c>
      <c r="H35" s="190" t="n">
        <v>0.5225</v>
      </c>
      <c r="I35" s="6"/>
      <c r="J35" s="173" t="n">
        <v>23576</v>
      </c>
      <c r="K35" s="173" t="n">
        <v>0</v>
      </c>
      <c r="L35" s="173" t="n">
        <v>23576</v>
      </c>
      <c r="M35" s="173" t="n">
        <v>23576</v>
      </c>
      <c r="N35" s="186"/>
    </row>
    <row r="36" customFormat="false" ht="15" hidden="false" customHeight="false" outlineLevel="0" collapsed="false">
      <c r="A36" s="186" t="s">
        <v>3955</v>
      </c>
      <c r="B36" s="6"/>
      <c r="C36" s="6"/>
      <c r="D36" s="6"/>
      <c r="E36" s="6"/>
      <c r="F36" s="191" t="n">
        <v>45118</v>
      </c>
      <c r="G36" s="193" t="n">
        <v>0.0503</v>
      </c>
      <c r="H36" s="193" t="n">
        <v>1</v>
      </c>
      <c r="I36" s="6"/>
      <c r="J36" s="173" t="n">
        <v>0</v>
      </c>
      <c r="K36" s="173" t="n">
        <v>0</v>
      </c>
      <c r="L36" s="173" t="n">
        <v>0</v>
      </c>
      <c r="M36" s="173" t="n">
        <v>0</v>
      </c>
      <c r="N36" s="186"/>
    </row>
    <row r="37" customFormat="false" ht="15" hidden="false" customHeight="false" outlineLevel="0" collapsed="false">
      <c r="A37" s="6" t="s">
        <v>5779</v>
      </c>
      <c r="B37" s="6" t="s">
        <v>5780</v>
      </c>
      <c r="C37" s="6" t="s">
        <v>5747</v>
      </c>
      <c r="D37" s="6" t="s">
        <v>5749</v>
      </c>
      <c r="E37" s="6" t="s">
        <v>3722</v>
      </c>
      <c r="F37" s="173" t="n">
        <v>5946</v>
      </c>
      <c r="G37" s="190" t="n">
        <v>0.0066</v>
      </c>
      <c r="H37" s="190" t="n">
        <v>0.6513</v>
      </c>
      <c r="I37" s="6"/>
      <c r="J37" s="173" t="n">
        <v>0</v>
      </c>
      <c r="K37" s="173" t="n">
        <v>5946</v>
      </c>
      <c r="L37" s="173" t="n">
        <v>5946</v>
      </c>
      <c r="M37" s="173" t="n">
        <v>5946</v>
      </c>
      <c r="N37" s="186"/>
    </row>
    <row r="38" customFormat="false" ht="15" hidden="false" customHeight="false" outlineLevel="0" collapsed="false">
      <c r="A38" s="6" t="s">
        <v>5779</v>
      </c>
      <c r="B38" s="6" t="s">
        <v>5781</v>
      </c>
      <c r="C38" s="6" t="s">
        <v>5747</v>
      </c>
      <c r="D38" s="6" t="s">
        <v>5749</v>
      </c>
      <c r="E38" s="6" t="s">
        <v>5747</v>
      </c>
      <c r="F38" s="173" t="n">
        <v>3184</v>
      </c>
      <c r="G38" s="190" t="n">
        <v>0.0035</v>
      </c>
      <c r="H38" s="190" t="n">
        <v>0.3487</v>
      </c>
      <c r="I38" s="6"/>
      <c r="J38" s="173" t="n">
        <v>0</v>
      </c>
      <c r="K38" s="173" t="n">
        <v>0</v>
      </c>
      <c r="L38" s="173" t="n">
        <v>3184</v>
      </c>
      <c r="M38" s="173" t="n">
        <v>6368</v>
      </c>
      <c r="N38" s="186"/>
    </row>
    <row r="39" customFormat="false" ht="15" hidden="false" customHeight="false" outlineLevel="0" collapsed="false">
      <c r="A39" s="6"/>
      <c r="B39" s="6"/>
      <c r="C39" s="6"/>
      <c r="D39" s="6"/>
      <c r="E39" s="6"/>
      <c r="F39" s="191" t="n">
        <v>9130</v>
      </c>
      <c r="G39" s="193" t="n">
        <v>0.0101</v>
      </c>
      <c r="H39" s="193" t="n">
        <v>1</v>
      </c>
      <c r="I39" s="6"/>
      <c r="J39" s="6"/>
      <c r="K39" s="6"/>
      <c r="L39" s="6"/>
      <c r="M39" s="6"/>
      <c r="N39" s="186"/>
    </row>
    <row r="40" customFormat="false" ht="15" hidden="false" customHeight="false" outlineLevel="0" collapsed="false">
      <c r="A40" s="6" t="s">
        <v>5782</v>
      </c>
      <c r="B40" s="6" t="s">
        <v>5783</v>
      </c>
      <c r="C40" s="6" t="s">
        <v>3722</v>
      </c>
      <c r="D40" s="6" t="s">
        <v>5745</v>
      </c>
      <c r="E40" s="6" t="s">
        <v>5745</v>
      </c>
      <c r="F40" s="173" t="n">
        <v>10167</v>
      </c>
      <c r="G40" s="190" t="n">
        <v>0.0113</v>
      </c>
      <c r="H40" s="190" t="n">
        <v>0.2699</v>
      </c>
      <c r="I40" s="6"/>
      <c r="J40" s="173" t="n">
        <v>20334</v>
      </c>
      <c r="K40" s="173" t="n">
        <v>10167</v>
      </c>
      <c r="L40" s="173" t="n">
        <v>0</v>
      </c>
      <c r="M40" s="173" t="n">
        <v>0</v>
      </c>
      <c r="N40" s="186"/>
    </row>
    <row r="41" customFormat="false" ht="15" hidden="false" customHeight="false" outlineLevel="0" collapsed="false">
      <c r="A41" s="6" t="s">
        <v>5782</v>
      </c>
      <c r="B41" s="6" t="s">
        <v>5784</v>
      </c>
      <c r="C41" s="6" t="s">
        <v>3722</v>
      </c>
      <c r="D41" s="6" t="s">
        <v>5745</v>
      </c>
      <c r="E41" s="6" t="s">
        <v>5749</v>
      </c>
      <c r="F41" s="173" t="n">
        <v>27496</v>
      </c>
      <c r="G41" s="190" t="n">
        <v>0.0306</v>
      </c>
      <c r="H41" s="190" t="n">
        <v>0.7301</v>
      </c>
      <c r="I41" s="6"/>
      <c r="J41" s="173" t="n">
        <v>27496</v>
      </c>
      <c r="K41" s="173" t="n">
        <v>27496</v>
      </c>
      <c r="L41" s="173" t="n">
        <v>27496</v>
      </c>
      <c r="M41" s="173" t="n">
        <v>0</v>
      </c>
      <c r="N41" s="186"/>
    </row>
    <row r="42" customFormat="false" ht="15" hidden="false" customHeight="false" outlineLevel="0" collapsed="false">
      <c r="A42" s="6"/>
      <c r="B42" s="6"/>
      <c r="C42" s="6"/>
      <c r="D42" s="6"/>
      <c r="E42" s="6"/>
      <c r="F42" s="191" t="n">
        <v>37663</v>
      </c>
      <c r="G42" s="193" t="n">
        <v>0.0419</v>
      </c>
      <c r="H42" s="193" t="n">
        <v>1</v>
      </c>
      <c r="I42" s="6"/>
      <c r="J42" s="6"/>
      <c r="K42" s="6"/>
      <c r="L42" s="6"/>
      <c r="M42" s="6"/>
      <c r="N42" s="186"/>
    </row>
    <row r="43" customFormat="false" ht="15" hidden="false" customHeight="false" outlineLevel="0" collapsed="false">
      <c r="A43" s="6" t="s">
        <v>5785</v>
      </c>
      <c r="B43" s="6" t="s">
        <v>5786</v>
      </c>
      <c r="C43" s="6" t="s">
        <v>5749</v>
      </c>
      <c r="D43" s="6" t="s">
        <v>5745</v>
      </c>
      <c r="E43" s="6" t="s">
        <v>5749</v>
      </c>
      <c r="F43" s="173" t="n">
        <v>22882</v>
      </c>
      <c r="G43" s="190" t="n">
        <v>0.0255</v>
      </c>
      <c r="H43" s="190" t="n">
        <v>0.4788</v>
      </c>
      <c r="I43" s="6"/>
      <c r="J43" s="173" t="n">
        <v>22882</v>
      </c>
      <c r="K43" s="173" t="n">
        <v>0</v>
      </c>
      <c r="L43" s="173" t="n">
        <v>45764</v>
      </c>
      <c r="M43" s="173" t="n">
        <v>0</v>
      </c>
      <c r="N43" s="186"/>
    </row>
    <row r="44" customFormat="false" ht="15" hidden="false" customHeight="false" outlineLevel="0" collapsed="false">
      <c r="A44" s="6" t="s">
        <v>5785</v>
      </c>
      <c r="B44" s="6" t="s">
        <v>5787</v>
      </c>
      <c r="C44" s="6" t="s">
        <v>5749</v>
      </c>
      <c r="D44" s="6" t="s">
        <v>5745</v>
      </c>
      <c r="E44" s="6" t="s">
        <v>5745</v>
      </c>
      <c r="F44" s="173" t="n">
        <v>24909</v>
      </c>
      <c r="G44" s="190" t="n">
        <v>0.0277</v>
      </c>
      <c r="H44" s="190" t="n">
        <v>0.5212</v>
      </c>
      <c r="I44" s="6"/>
      <c r="J44" s="173" t="n">
        <v>49818</v>
      </c>
      <c r="K44" s="173" t="n">
        <v>0</v>
      </c>
      <c r="L44" s="173" t="n">
        <v>24909</v>
      </c>
      <c r="M44" s="173" t="n">
        <v>0</v>
      </c>
      <c r="N44" s="186"/>
    </row>
    <row r="45" customFormat="false" ht="15" hidden="false" customHeight="false" outlineLevel="0" collapsed="false">
      <c r="A45" s="6"/>
      <c r="B45" s="6"/>
      <c r="C45" s="6"/>
      <c r="D45" s="6"/>
      <c r="E45" s="6"/>
      <c r="F45" s="191" t="n">
        <v>47791</v>
      </c>
      <c r="G45" s="193" t="n">
        <v>0.0532</v>
      </c>
      <c r="H45" s="193" t="n">
        <v>1</v>
      </c>
      <c r="I45" s="6"/>
      <c r="J45" s="6"/>
      <c r="K45" s="6"/>
      <c r="L45" s="6"/>
      <c r="M45" s="6"/>
      <c r="N45" s="186"/>
    </row>
    <row r="46" customFormat="false" ht="15" hidden="false" customHeight="false" outlineLevel="0" collapsed="false">
      <c r="A46" s="6" t="s">
        <v>5788</v>
      </c>
      <c r="B46" s="6" t="s">
        <v>5789</v>
      </c>
      <c r="C46" s="6" t="s">
        <v>5749</v>
      </c>
      <c r="D46" s="6" t="s">
        <v>5749</v>
      </c>
      <c r="E46" s="6" t="s">
        <v>5745</v>
      </c>
      <c r="F46" s="173" t="n">
        <v>10183</v>
      </c>
      <c r="G46" s="190" t="n">
        <v>0.0113</v>
      </c>
      <c r="H46" s="190" t="n">
        <v>0.1379</v>
      </c>
      <c r="I46" s="6"/>
      <c r="J46" s="173" t="n">
        <v>10183</v>
      </c>
      <c r="K46" s="173" t="n">
        <v>0</v>
      </c>
      <c r="L46" s="173" t="n">
        <v>20366</v>
      </c>
      <c r="M46" s="173" t="n">
        <v>0</v>
      </c>
      <c r="N46" s="186"/>
    </row>
    <row r="47" customFormat="false" ht="15" hidden="false" customHeight="false" outlineLevel="0" collapsed="false">
      <c r="A47" s="6" t="s">
        <v>5788</v>
      </c>
      <c r="B47" s="6" t="s">
        <v>5790</v>
      </c>
      <c r="C47" s="6" t="s">
        <v>5749</v>
      </c>
      <c r="D47" s="6" t="s">
        <v>5749</v>
      </c>
      <c r="E47" s="6" t="s">
        <v>5747</v>
      </c>
      <c r="F47" s="173" t="n">
        <v>17033</v>
      </c>
      <c r="G47" s="190" t="n">
        <v>0.019</v>
      </c>
      <c r="H47" s="190" t="n">
        <v>0.2307</v>
      </c>
      <c r="I47" s="6"/>
      <c r="J47" s="173" t="n">
        <v>0</v>
      </c>
      <c r="K47" s="173" t="n">
        <v>0</v>
      </c>
      <c r="L47" s="173" t="n">
        <v>34066</v>
      </c>
      <c r="M47" s="173" t="n">
        <v>17033</v>
      </c>
      <c r="N47" s="186"/>
    </row>
    <row r="48" customFormat="false" ht="15" hidden="false" customHeight="false" outlineLevel="0" collapsed="false">
      <c r="A48" s="6" t="s">
        <v>5788</v>
      </c>
      <c r="B48" s="6" t="s">
        <v>5791</v>
      </c>
      <c r="C48" s="6" t="s">
        <v>5749</v>
      </c>
      <c r="D48" s="6" t="s">
        <v>5749</v>
      </c>
      <c r="E48" s="6" t="s">
        <v>5749</v>
      </c>
      <c r="F48" s="173" t="n">
        <v>14788</v>
      </c>
      <c r="G48" s="190" t="n">
        <v>0.0164</v>
      </c>
      <c r="H48" s="190" t="n">
        <v>0.2003</v>
      </c>
      <c r="I48" s="6"/>
      <c r="J48" s="173" t="n">
        <v>0</v>
      </c>
      <c r="K48" s="173" t="n">
        <v>0</v>
      </c>
      <c r="L48" s="173" t="n">
        <v>44364</v>
      </c>
      <c r="M48" s="173" t="n">
        <v>0</v>
      </c>
      <c r="N48" s="186"/>
    </row>
    <row r="49" customFormat="false" ht="15" hidden="false" customHeight="false" outlineLevel="0" collapsed="false">
      <c r="A49" s="6" t="s">
        <v>5788</v>
      </c>
      <c r="B49" s="6" t="s">
        <v>5792</v>
      </c>
      <c r="C49" s="6" t="s">
        <v>5749</v>
      </c>
      <c r="D49" s="6" t="s">
        <v>5749</v>
      </c>
      <c r="E49" s="6" t="s">
        <v>3722</v>
      </c>
      <c r="F49" s="173" t="n">
        <v>31827</v>
      </c>
      <c r="G49" s="190" t="n">
        <v>0.0355</v>
      </c>
      <c r="H49" s="190" t="n">
        <v>0.4311</v>
      </c>
      <c r="I49" s="6"/>
      <c r="J49" s="173" t="n">
        <v>0</v>
      </c>
      <c r="K49" s="173" t="n">
        <v>31827</v>
      </c>
      <c r="L49" s="173" t="n">
        <v>63654</v>
      </c>
      <c r="M49" s="173" t="n">
        <v>0</v>
      </c>
      <c r="N49" s="186"/>
    </row>
    <row r="50" customFormat="false" ht="15" hidden="false" customHeight="false" outlineLevel="0" collapsed="false">
      <c r="A50" s="6"/>
      <c r="B50" s="6"/>
      <c r="C50" s="6"/>
      <c r="D50" s="6"/>
      <c r="E50" s="6"/>
      <c r="F50" s="191" t="n">
        <v>73831</v>
      </c>
      <c r="G50" s="193" t="n">
        <v>0.0822</v>
      </c>
      <c r="H50" s="193" t="n">
        <v>1</v>
      </c>
      <c r="I50" s="6"/>
      <c r="J50" s="6"/>
      <c r="K50" s="6"/>
      <c r="L50" s="6"/>
      <c r="M50" s="6"/>
      <c r="N50" s="186"/>
    </row>
    <row r="51" customFormat="false" ht="15" hidden="false" customHeight="false" outlineLevel="0" collapsed="false">
      <c r="A51" s="6" t="s">
        <v>5793</v>
      </c>
      <c r="B51" s="6" t="s">
        <v>5794</v>
      </c>
      <c r="C51" s="6" t="s">
        <v>3722</v>
      </c>
      <c r="D51" s="6" t="s">
        <v>5745</v>
      </c>
      <c r="E51" s="6" t="s">
        <v>3722</v>
      </c>
      <c r="F51" s="173" t="n">
        <v>11075</v>
      </c>
      <c r="G51" s="190" t="n">
        <v>0.0123</v>
      </c>
      <c r="H51" s="190" t="n">
        <v>0.456</v>
      </c>
      <c r="I51" s="6"/>
      <c r="J51" s="173" t="n">
        <v>11075</v>
      </c>
      <c r="K51" s="173" t="n">
        <v>22150</v>
      </c>
      <c r="L51" s="173" t="n">
        <v>0</v>
      </c>
      <c r="M51" s="173" t="n">
        <v>0</v>
      </c>
      <c r="N51" s="186"/>
    </row>
    <row r="52" customFormat="false" ht="15" hidden="false" customHeight="false" outlineLevel="0" collapsed="false">
      <c r="A52" s="6" t="s">
        <v>5793</v>
      </c>
      <c r="B52" s="6" t="s">
        <v>641</v>
      </c>
      <c r="C52" s="6" t="s">
        <v>3722</v>
      </c>
      <c r="D52" s="6" t="s">
        <v>5745</v>
      </c>
      <c r="E52" s="6" t="s">
        <v>5747</v>
      </c>
      <c r="F52" s="173" t="n">
        <v>13212</v>
      </c>
      <c r="G52" s="190" t="n">
        <v>0.0147</v>
      </c>
      <c r="H52" s="190" t="n">
        <v>0.544</v>
      </c>
      <c r="I52" s="6"/>
      <c r="J52" s="173" t="n">
        <v>13212</v>
      </c>
      <c r="K52" s="173" t="n">
        <v>13212</v>
      </c>
      <c r="L52" s="173" t="n">
        <v>0</v>
      </c>
      <c r="M52" s="173" t="n">
        <v>13212</v>
      </c>
      <c r="N52" s="186"/>
    </row>
    <row r="53" customFormat="false" ht="15" hidden="false" customHeight="false" outlineLevel="0" collapsed="false">
      <c r="A53" s="6"/>
      <c r="B53" s="6"/>
      <c r="C53" s="6"/>
      <c r="D53" s="6"/>
      <c r="E53" s="6"/>
      <c r="F53" s="191" t="n">
        <v>24287</v>
      </c>
      <c r="G53" s="193" t="n">
        <v>0.027</v>
      </c>
      <c r="H53" s="193" t="n">
        <v>1</v>
      </c>
      <c r="I53" s="6"/>
      <c r="J53" s="6"/>
      <c r="K53" s="6"/>
      <c r="L53" s="6"/>
      <c r="M53" s="6"/>
      <c r="N53" s="186"/>
    </row>
    <row r="54" customFormat="false" ht="15" hidden="false" customHeight="false" outlineLevel="0" collapsed="false">
      <c r="A54" s="6" t="s">
        <v>5795</v>
      </c>
      <c r="B54" s="6" t="s">
        <v>5796</v>
      </c>
      <c r="C54" s="6" t="s">
        <v>5745</v>
      </c>
      <c r="D54" s="6" t="s">
        <v>5747</v>
      </c>
      <c r="E54" s="6" t="s">
        <v>5747</v>
      </c>
      <c r="F54" s="173" t="n">
        <v>13889</v>
      </c>
      <c r="G54" s="190" t="n">
        <v>0.0154</v>
      </c>
      <c r="H54" s="190" t="n">
        <v>0.2972</v>
      </c>
      <c r="I54" s="6"/>
      <c r="J54" s="173" t="n">
        <v>13889</v>
      </c>
      <c r="K54" s="173" t="n">
        <v>0</v>
      </c>
      <c r="L54" s="173" t="n">
        <v>0</v>
      </c>
      <c r="M54" s="173" t="n">
        <v>27778</v>
      </c>
      <c r="N54" s="186"/>
    </row>
    <row r="55" customFormat="false" ht="15" hidden="false" customHeight="false" outlineLevel="0" collapsed="false">
      <c r="A55" s="6" t="s">
        <v>5795</v>
      </c>
      <c r="B55" s="6" t="s">
        <v>5797</v>
      </c>
      <c r="C55" s="6" t="s">
        <v>5745</v>
      </c>
      <c r="D55" s="6" t="s">
        <v>5747</v>
      </c>
      <c r="E55" s="6" t="s">
        <v>3722</v>
      </c>
      <c r="F55" s="173" t="n">
        <v>28118</v>
      </c>
      <c r="G55" s="190" t="n">
        <v>0.0313</v>
      </c>
      <c r="H55" s="190" t="n">
        <v>0.6018</v>
      </c>
      <c r="I55" s="6"/>
      <c r="J55" s="173" t="n">
        <v>28118</v>
      </c>
      <c r="K55" s="173" t="n">
        <v>28118</v>
      </c>
      <c r="L55" s="173" t="n">
        <v>0</v>
      </c>
      <c r="M55" s="173" t="n">
        <v>28118</v>
      </c>
      <c r="N55" s="186"/>
    </row>
    <row r="56" customFormat="false" ht="15" hidden="false" customHeight="false" outlineLevel="0" collapsed="false">
      <c r="A56" s="6" t="s">
        <v>5795</v>
      </c>
      <c r="B56" s="6" t="s">
        <v>5798</v>
      </c>
      <c r="C56" s="6" t="s">
        <v>5745</v>
      </c>
      <c r="D56" s="6" t="s">
        <v>5747</v>
      </c>
      <c r="E56" s="6" t="s">
        <v>5745</v>
      </c>
      <c r="F56" s="173" t="n">
        <v>4720</v>
      </c>
      <c r="G56" s="190" t="n">
        <v>0.0052</v>
      </c>
      <c r="H56" s="190" t="n">
        <v>0.101</v>
      </c>
      <c r="I56" s="6"/>
      <c r="J56" s="173" t="n">
        <v>9440</v>
      </c>
      <c r="K56" s="173" t="n">
        <v>0</v>
      </c>
      <c r="L56" s="173" t="n">
        <v>0</v>
      </c>
      <c r="M56" s="173" t="n">
        <v>4720</v>
      </c>
      <c r="N56" s="186"/>
    </row>
    <row r="57" customFormat="false" ht="15" hidden="false" customHeight="false" outlineLevel="0" collapsed="false">
      <c r="A57" s="6"/>
      <c r="B57" s="6"/>
      <c r="C57" s="6"/>
      <c r="D57" s="6"/>
      <c r="E57" s="6"/>
      <c r="F57" s="191" t="n">
        <v>46727</v>
      </c>
      <c r="G57" s="193" t="n">
        <v>0.0519</v>
      </c>
      <c r="H57" s="193" t="n">
        <v>1</v>
      </c>
      <c r="I57" s="6"/>
      <c r="J57" s="6"/>
      <c r="K57" s="6"/>
      <c r="L57" s="6"/>
      <c r="M57" s="6"/>
      <c r="N57" s="186"/>
    </row>
    <row r="58" customFormat="false" ht="15" hidden="false" customHeight="false" outlineLevel="0" collapsed="false">
      <c r="A58" s="6" t="s">
        <v>5799</v>
      </c>
      <c r="B58" s="6" t="s">
        <v>5800</v>
      </c>
      <c r="C58" s="6" t="s">
        <v>3722</v>
      </c>
      <c r="D58" s="6" t="s">
        <v>5747</v>
      </c>
      <c r="E58" s="6" t="s">
        <v>5747</v>
      </c>
      <c r="F58" s="173" t="n">
        <v>8071</v>
      </c>
      <c r="G58" s="190" t="n">
        <v>0.009</v>
      </c>
      <c r="H58" s="190" t="n">
        <v>0.0823</v>
      </c>
      <c r="I58" s="6"/>
      <c r="J58" s="173" t="n">
        <v>0</v>
      </c>
      <c r="K58" s="173" t="n">
        <v>8071</v>
      </c>
      <c r="L58" s="173" t="n">
        <v>0</v>
      </c>
      <c r="M58" s="173" t="n">
        <v>16142</v>
      </c>
      <c r="N58" s="186"/>
    </row>
    <row r="59" customFormat="false" ht="15" hidden="false" customHeight="false" outlineLevel="0" collapsed="false">
      <c r="A59" s="6" t="s">
        <v>5799</v>
      </c>
      <c r="B59" s="6" t="s">
        <v>5801</v>
      </c>
      <c r="C59" s="6" t="s">
        <v>3722</v>
      </c>
      <c r="D59" s="6" t="s">
        <v>5747</v>
      </c>
      <c r="E59" s="6" t="s">
        <v>5749</v>
      </c>
      <c r="F59" s="173" t="n">
        <v>47842</v>
      </c>
      <c r="G59" s="190" t="n">
        <v>0.0533</v>
      </c>
      <c r="H59" s="190" t="n">
        <v>0.488</v>
      </c>
      <c r="I59" s="6"/>
      <c r="J59" s="173" t="n">
        <v>0</v>
      </c>
      <c r="K59" s="173" t="n">
        <v>47842</v>
      </c>
      <c r="L59" s="173" t="n">
        <v>47842</v>
      </c>
      <c r="M59" s="173" t="n">
        <v>47842</v>
      </c>
      <c r="N59" s="186"/>
    </row>
    <row r="60" customFormat="false" ht="15" hidden="false" customHeight="false" outlineLevel="0" collapsed="false">
      <c r="A60" s="6" t="s">
        <v>5799</v>
      </c>
      <c r="B60" s="6" t="s">
        <v>5802</v>
      </c>
      <c r="C60" s="6" t="s">
        <v>5747</v>
      </c>
      <c r="D60" s="6" t="s">
        <v>5747</v>
      </c>
      <c r="E60" s="6" t="s">
        <v>5745</v>
      </c>
      <c r="F60" s="173" t="n">
        <v>3342</v>
      </c>
      <c r="G60" s="190" t="n">
        <v>0.0037</v>
      </c>
      <c r="H60" s="190" t="n">
        <v>0.0341</v>
      </c>
      <c r="I60" s="6"/>
      <c r="J60" s="173" t="n">
        <v>3342</v>
      </c>
      <c r="K60" s="173" t="n">
        <v>0</v>
      </c>
      <c r="L60" s="173" t="n">
        <v>0</v>
      </c>
      <c r="M60" s="173" t="n">
        <v>6684</v>
      </c>
      <c r="N60" s="186"/>
    </row>
    <row r="61" customFormat="false" ht="15" hidden="false" customHeight="false" outlineLevel="0" collapsed="false">
      <c r="A61" s="6" t="s">
        <v>5799</v>
      </c>
      <c r="B61" s="6" t="s">
        <v>5803</v>
      </c>
      <c r="C61" s="6" t="s">
        <v>3722</v>
      </c>
      <c r="D61" s="6" t="s">
        <v>5747</v>
      </c>
      <c r="E61" s="6" t="s">
        <v>5745</v>
      </c>
      <c r="F61" s="173" t="n">
        <v>3023</v>
      </c>
      <c r="G61" s="190" t="n">
        <v>0.0033</v>
      </c>
      <c r="H61" s="190" t="n">
        <v>0.0308</v>
      </c>
      <c r="I61" s="6"/>
      <c r="J61" s="173" t="n">
        <v>3023</v>
      </c>
      <c r="K61" s="173" t="n">
        <v>3023</v>
      </c>
      <c r="L61" s="173" t="n">
        <v>0</v>
      </c>
      <c r="M61" s="173" t="n">
        <v>3023</v>
      </c>
      <c r="N61" s="186"/>
    </row>
    <row r="62" customFormat="false" ht="15" hidden="false" customHeight="false" outlineLevel="0" collapsed="false">
      <c r="A62" s="6" t="s">
        <v>5799</v>
      </c>
      <c r="B62" s="6" t="s">
        <v>5804</v>
      </c>
      <c r="C62" s="6" t="s">
        <v>3722</v>
      </c>
      <c r="D62" s="6" t="s">
        <v>5747</v>
      </c>
      <c r="E62" s="6" t="s">
        <v>3722</v>
      </c>
      <c r="F62" s="173" t="n">
        <v>19838</v>
      </c>
      <c r="G62" s="190" t="n">
        <v>0.0221</v>
      </c>
      <c r="H62" s="190" t="n">
        <v>0.2023</v>
      </c>
      <c r="I62" s="6"/>
      <c r="J62" s="173" t="n">
        <v>0</v>
      </c>
      <c r="K62" s="173" t="n">
        <v>39676</v>
      </c>
      <c r="L62" s="173" t="n">
        <v>0</v>
      </c>
      <c r="M62" s="173" t="n">
        <v>19838</v>
      </c>
      <c r="N62" s="186"/>
    </row>
    <row r="63" customFormat="false" ht="15" hidden="false" customHeight="false" outlineLevel="0" collapsed="false">
      <c r="A63" s="6" t="s">
        <v>5799</v>
      </c>
      <c r="B63" s="6" t="s">
        <v>5805</v>
      </c>
      <c r="C63" s="6" t="s">
        <v>5747</v>
      </c>
      <c r="D63" s="6" t="s">
        <v>5747</v>
      </c>
      <c r="E63" s="6" t="s">
        <v>5749</v>
      </c>
      <c r="F63" s="173" t="n">
        <v>15925</v>
      </c>
      <c r="G63" s="190" t="n">
        <v>0.0177</v>
      </c>
      <c r="H63" s="190" t="n">
        <v>0.1624</v>
      </c>
      <c r="I63" s="6"/>
      <c r="J63" s="173" t="n">
        <v>0</v>
      </c>
      <c r="K63" s="173" t="n">
        <v>0</v>
      </c>
      <c r="L63" s="173" t="n">
        <v>15925</v>
      </c>
      <c r="M63" s="173" t="n">
        <v>31850</v>
      </c>
      <c r="N63" s="186"/>
    </row>
    <row r="64" customFormat="false" ht="15" hidden="false" customHeight="false" outlineLevel="0" collapsed="false">
      <c r="A64" s="6"/>
      <c r="B64" s="6"/>
      <c r="C64" s="6"/>
      <c r="D64" s="6"/>
      <c r="E64" s="6"/>
      <c r="F64" s="191" t="n">
        <v>98041</v>
      </c>
      <c r="G64" s="193" t="n">
        <v>0.1091</v>
      </c>
      <c r="H64" s="193" t="n">
        <v>0.9999</v>
      </c>
      <c r="I64" s="6"/>
      <c r="J64" s="6"/>
      <c r="K64" s="6"/>
      <c r="L64" s="6"/>
      <c r="M64" s="6"/>
      <c r="N64" s="186"/>
    </row>
    <row r="65" customFormat="false" ht="15" hidden="false" customHeight="false" outlineLevel="0" collapsed="false">
      <c r="A65" s="6" t="s">
        <v>5806</v>
      </c>
      <c r="B65" s="6" t="s">
        <v>5807</v>
      </c>
      <c r="C65" s="6" t="s">
        <v>5745</v>
      </c>
      <c r="D65" s="6" t="s">
        <v>5745</v>
      </c>
      <c r="E65" s="6" t="s">
        <v>5749</v>
      </c>
      <c r="F65" s="173" t="n">
        <v>15145</v>
      </c>
      <c r="G65" s="190" t="n">
        <v>0.0168</v>
      </c>
      <c r="H65" s="190" t="n">
        <v>0.5554</v>
      </c>
      <c r="I65" s="6"/>
      <c r="J65" s="173" t="n">
        <v>30290</v>
      </c>
      <c r="K65" s="173" t="n">
        <v>0</v>
      </c>
      <c r="L65" s="173" t="n">
        <v>15145</v>
      </c>
      <c r="M65" s="173" t="n">
        <v>0</v>
      </c>
      <c r="N65" s="186"/>
    </row>
    <row r="66" customFormat="false" ht="15" hidden="false" customHeight="false" outlineLevel="0" collapsed="false">
      <c r="A66" s="6" t="s">
        <v>5806</v>
      </c>
      <c r="B66" s="6" t="s">
        <v>5808</v>
      </c>
      <c r="C66" s="6" t="s">
        <v>5745</v>
      </c>
      <c r="D66" s="6" t="s">
        <v>5745</v>
      </c>
      <c r="E66" s="6" t="s">
        <v>5745</v>
      </c>
      <c r="F66" s="173" t="n">
        <v>12126</v>
      </c>
      <c r="G66" s="190" t="n">
        <v>0.0135</v>
      </c>
      <c r="H66" s="190" t="n">
        <v>0.4446</v>
      </c>
      <c r="I66" s="6"/>
      <c r="J66" s="173" t="n">
        <v>36378</v>
      </c>
      <c r="K66" s="173" t="n">
        <v>0</v>
      </c>
      <c r="L66" s="173" t="n">
        <v>0</v>
      </c>
      <c r="M66" s="173" t="n">
        <v>0</v>
      </c>
      <c r="N66" s="186"/>
    </row>
    <row r="67" customFormat="false" ht="15" hidden="false" customHeight="false" outlineLevel="0" collapsed="false">
      <c r="A67" s="6"/>
      <c r="B67" s="6"/>
      <c r="C67" s="6"/>
      <c r="D67" s="6"/>
      <c r="E67" s="6"/>
      <c r="F67" s="191" t="n">
        <v>27271</v>
      </c>
      <c r="G67" s="193" t="n">
        <v>0.0303</v>
      </c>
      <c r="H67" s="193" t="n">
        <v>1</v>
      </c>
      <c r="I67" s="6"/>
      <c r="J67" s="6"/>
      <c r="K67" s="6"/>
      <c r="L67" s="6"/>
      <c r="M67" s="6"/>
      <c r="N67" s="186"/>
    </row>
    <row r="68" customFormat="false" ht="15" hidden="false" customHeight="false" outlineLevel="0" collapsed="false">
      <c r="A68" s="6" t="s">
        <v>5809</v>
      </c>
      <c r="B68" s="6" t="s">
        <v>5810</v>
      </c>
      <c r="C68" s="6" t="s">
        <v>5745</v>
      </c>
      <c r="D68" s="6" t="s">
        <v>5747</v>
      </c>
      <c r="E68" s="6" t="s">
        <v>5749</v>
      </c>
      <c r="F68" s="173" t="n">
        <v>22121</v>
      </c>
      <c r="G68" s="190" t="n">
        <v>0.0246</v>
      </c>
      <c r="H68" s="190" t="n">
        <v>1</v>
      </c>
      <c r="I68" s="6"/>
      <c r="J68" s="173" t="n">
        <v>22121</v>
      </c>
      <c r="K68" s="173" t="n">
        <v>0</v>
      </c>
      <c r="L68" s="173" t="n">
        <v>22121</v>
      </c>
      <c r="M68" s="173" t="n">
        <v>22121</v>
      </c>
      <c r="N68" s="186"/>
    </row>
    <row r="69" customFormat="false" ht="15" hidden="false" customHeight="false" outlineLevel="0" collapsed="false">
      <c r="A69" s="6"/>
      <c r="B69" s="6"/>
      <c r="C69" s="6"/>
      <c r="D69" s="6"/>
      <c r="E69" s="6"/>
      <c r="F69" s="191" t="n">
        <v>22121</v>
      </c>
      <c r="G69" s="192" t="n">
        <v>0.0246</v>
      </c>
      <c r="H69" s="192" t="n">
        <v>1</v>
      </c>
      <c r="I69" s="6"/>
      <c r="J69" s="6"/>
      <c r="K69" s="6"/>
      <c r="L69" s="6"/>
      <c r="M69" s="6"/>
      <c r="N69" s="186"/>
    </row>
    <row r="70" customFormat="false" ht="15" hidden="false" customHeight="false" outlineLevel="0" collapsed="false">
      <c r="A70" s="6" t="s">
        <v>5811</v>
      </c>
      <c r="B70" s="6" t="s">
        <v>5812</v>
      </c>
      <c r="C70" s="6" t="s">
        <v>5747</v>
      </c>
      <c r="D70" s="6" t="s">
        <v>5747</v>
      </c>
      <c r="E70" s="6" t="s">
        <v>5747</v>
      </c>
      <c r="F70" s="173" t="n">
        <v>14760</v>
      </c>
      <c r="G70" s="190" t="n">
        <v>0.0164</v>
      </c>
      <c r="H70" s="190" t="n">
        <v>0.4647</v>
      </c>
      <c r="I70" s="6"/>
      <c r="J70" s="173" t="n">
        <v>0</v>
      </c>
      <c r="K70" s="173" t="n">
        <v>0</v>
      </c>
      <c r="L70" s="173" t="n">
        <v>0</v>
      </c>
      <c r="M70" s="173" t="n">
        <v>44280</v>
      </c>
      <c r="N70" s="186"/>
    </row>
    <row r="71" customFormat="false" ht="15" hidden="false" customHeight="false" outlineLevel="0" collapsed="false">
      <c r="A71" s="6" t="s">
        <v>5811</v>
      </c>
      <c r="B71" s="6" t="s">
        <v>5813</v>
      </c>
      <c r="C71" s="6" t="s">
        <v>5747</v>
      </c>
      <c r="D71" s="6" t="s">
        <v>5747</v>
      </c>
      <c r="E71" s="6" t="s">
        <v>3722</v>
      </c>
      <c r="F71" s="173" t="n">
        <v>17001</v>
      </c>
      <c r="G71" s="190" t="n">
        <v>0.0189</v>
      </c>
      <c r="H71" s="190" t="n">
        <v>0.5353</v>
      </c>
      <c r="I71" s="6"/>
      <c r="J71" s="173" t="n">
        <v>0</v>
      </c>
      <c r="K71" s="173" t="n">
        <v>17001</v>
      </c>
      <c r="L71" s="173" t="n">
        <v>0</v>
      </c>
      <c r="M71" s="173" t="n">
        <v>34002</v>
      </c>
      <c r="N71" s="186"/>
    </row>
    <row r="72" customFormat="false" ht="15" hidden="false" customHeight="false" outlineLevel="0" collapsed="false">
      <c r="A72" s="6"/>
      <c r="B72" s="6"/>
      <c r="C72" s="6"/>
      <c r="D72" s="6"/>
      <c r="E72" s="6"/>
      <c r="F72" s="191" t="n">
        <v>31761</v>
      </c>
      <c r="G72" s="193" t="n">
        <v>0.0353</v>
      </c>
      <c r="H72" s="193" t="n">
        <v>1</v>
      </c>
      <c r="I72" s="6"/>
      <c r="J72" s="6"/>
      <c r="K72" s="6"/>
      <c r="L72" s="6"/>
      <c r="M72" s="6"/>
      <c r="N72" s="186"/>
    </row>
    <row r="73" customFormat="false" ht="15" hidden="false" customHeight="false" outlineLevel="0" collapsed="false">
      <c r="A73" s="6" t="s">
        <v>5814</v>
      </c>
      <c r="B73" s="6" t="s">
        <v>5815</v>
      </c>
      <c r="C73" s="6" t="s">
        <v>3722</v>
      </c>
      <c r="D73" s="6" t="s">
        <v>3722</v>
      </c>
      <c r="E73" s="6" t="s">
        <v>5749</v>
      </c>
      <c r="F73" s="173" t="n">
        <v>18418</v>
      </c>
      <c r="G73" s="190" t="n">
        <v>0.0205</v>
      </c>
      <c r="H73" s="190" t="n">
        <v>0.3851</v>
      </c>
      <c r="I73" s="6"/>
      <c r="J73" s="173" t="n">
        <v>0</v>
      </c>
      <c r="K73" s="173" t="n">
        <v>36836</v>
      </c>
      <c r="L73" s="173" t="n">
        <v>18418</v>
      </c>
      <c r="M73" s="173" t="n">
        <v>0</v>
      </c>
      <c r="N73" s="186"/>
    </row>
    <row r="74" customFormat="false" ht="15" hidden="false" customHeight="false" outlineLevel="0" collapsed="false">
      <c r="A74" s="6" t="s">
        <v>5814</v>
      </c>
      <c r="B74" s="6" t="s">
        <v>5816</v>
      </c>
      <c r="C74" s="6" t="s">
        <v>3722</v>
      </c>
      <c r="D74" s="6" t="s">
        <v>3722</v>
      </c>
      <c r="E74" s="6" t="s">
        <v>3722</v>
      </c>
      <c r="F74" s="173" t="n">
        <v>17733</v>
      </c>
      <c r="G74" s="190" t="n">
        <v>0.0197</v>
      </c>
      <c r="H74" s="190" t="n">
        <v>0.3707</v>
      </c>
      <c r="I74" s="6"/>
      <c r="J74" s="173" t="n">
        <v>0</v>
      </c>
      <c r="K74" s="173" t="n">
        <v>53199</v>
      </c>
      <c r="L74" s="173" t="n">
        <v>0</v>
      </c>
      <c r="M74" s="173" t="n">
        <v>0</v>
      </c>
      <c r="N74" s="186"/>
    </row>
    <row r="75" customFormat="false" ht="15" hidden="false" customHeight="false" outlineLevel="0" collapsed="false">
      <c r="A75" s="6" t="s">
        <v>5814</v>
      </c>
      <c r="B75" s="6" t="s">
        <v>5817</v>
      </c>
      <c r="C75" s="6" t="s">
        <v>3722</v>
      </c>
      <c r="D75" s="6" t="s">
        <v>3722</v>
      </c>
      <c r="E75" s="6" t="s">
        <v>5745</v>
      </c>
      <c r="F75" s="173" t="n">
        <v>5451</v>
      </c>
      <c r="G75" s="190" t="n">
        <v>0.006</v>
      </c>
      <c r="H75" s="190" t="n">
        <v>0.114</v>
      </c>
      <c r="I75" s="6"/>
      <c r="J75" s="173" t="n">
        <v>5451</v>
      </c>
      <c r="K75" s="173" t="n">
        <v>10902</v>
      </c>
      <c r="L75" s="173" t="n">
        <v>0</v>
      </c>
      <c r="M75" s="173" t="n">
        <v>0</v>
      </c>
      <c r="N75" s="186"/>
    </row>
    <row r="76" customFormat="false" ht="15" hidden="false" customHeight="false" outlineLevel="0" collapsed="false">
      <c r="A76" s="6" t="s">
        <v>5814</v>
      </c>
      <c r="B76" s="6" t="s">
        <v>5818</v>
      </c>
      <c r="C76" s="6" t="s">
        <v>3722</v>
      </c>
      <c r="D76" s="6" t="s">
        <v>3722</v>
      </c>
      <c r="E76" s="6" t="s">
        <v>5747</v>
      </c>
      <c r="F76" s="173" t="n">
        <v>6229</v>
      </c>
      <c r="G76" s="190" t="n">
        <v>0.0069</v>
      </c>
      <c r="H76" s="190" t="n">
        <v>0.1302</v>
      </c>
      <c r="I76" s="6"/>
      <c r="J76" s="173" t="n">
        <v>0</v>
      </c>
      <c r="K76" s="173" t="n">
        <v>12458</v>
      </c>
      <c r="L76" s="173" t="n">
        <v>0</v>
      </c>
      <c r="M76" s="173" t="n">
        <v>6229</v>
      </c>
      <c r="N76" s="186"/>
    </row>
    <row r="77" customFormat="false" ht="15" hidden="false" customHeight="false" outlineLevel="0" collapsed="false">
      <c r="A77" s="6"/>
      <c r="B77" s="6"/>
      <c r="C77" s="6"/>
      <c r="D77" s="6"/>
      <c r="E77" s="6"/>
      <c r="F77" s="191" t="n">
        <v>47831</v>
      </c>
      <c r="G77" s="193" t="n">
        <v>0.0531</v>
      </c>
      <c r="H77" s="193" t="n">
        <v>1</v>
      </c>
      <c r="I77" s="6"/>
      <c r="J77" s="6"/>
      <c r="K77" s="6"/>
      <c r="L77" s="6"/>
      <c r="M77" s="6"/>
      <c r="N77" s="186"/>
    </row>
    <row r="78" customFormat="false" ht="15" hidden="false" customHeight="false" outlineLevel="0" collapsed="false">
      <c r="A78" s="6" t="s">
        <v>5819</v>
      </c>
      <c r="B78" s="6" t="s">
        <v>5820</v>
      </c>
      <c r="C78" s="6" t="s">
        <v>5745</v>
      </c>
      <c r="D78" s="6" t="s">
        <v>5749</v>
      </c>
      <c r="E78" s="6" t="s">
        <v>5747</v>
      </c>
      <c r="F78" s="173" t="n">
        <v>6671</v>
      </c>
      <c r="G78" s="190" t="n">
        <v>0.0074</v>
      </c>
      <c r="H78" s="190" t="n">
        <v>0.1384</v>
      </c>
      <c r="I78" s="6"/>
      <c r="J78" s="173" t="n">
        <v>6671</v>
      </c>
      <c r="K78" s="173" t="n">
        <v>0</v>
      </c>
      <c r="L78" s="173" t="n">
        <v>6671</v>
      </c>
      <c r="M78" s="173" t="n">
        <v>6671</v>
      </c>
      <c r="N78" s="186"/>
    </row>
    <row r="79" customFormat="false" ht="15" hidden="false" customHeight="false" outlineLevel="0" collapsed="false">
      <c r="A79" s="6" t="s">
        <v>5819</v>
      </c>
      <c r="B79" s="6" t="s">
        <v>5821</v>
      </c>
      <c r="C79" s="6" t="s">
        <v>5747</v>
      </c>
      <c r="D79" s="6" t="s">
        <v>3722</v>
      </c>
      <c r="E79" s="6" t="s">
        <v>5745</v>
      </c>
      <c r="F79" s="173" t="n">
        <v>2847</v>
      </c>
      <c r="G79" s="190" t="n">
        <v>0.0031</v>
      </c>
      <c r="H79" s="190" t="n">
        <v>0.0591</v>
      </c>
      <c r="I79" s="6"/>
      <c r="J79" s="173" t="n">
        <v>2847</v>
      </c>
      <c r="K79" s="173" t="n">
        <v>2847</v>
      </c>
      <c r="L79" s="173" t="n">
        <v>0</v>
      </c>
      <c r="M79" s="173" t="n">
        <v>2847</v>
      </c>
      <c r="N79" s="186"/>
    </row>
    <row r="80" customFormat="false" ht="15" hidden="false" customHeight="false" outlineLevel="0" collapsed="false">
      <c r="A80" s="6" t="s">
        <v>5819</v>
      </c>
      <c r="B80" s="6" t="s">
        <v>5822</v>
      </c>
      <c r="C80" s="6" t="s">
        <v>5745</v>
      </c>
      <c r="D80" s="6" t="s">
        <v>5749</v>
      </c>
      <c r="E80" s="6" t="s">
        <v>3722</v>
      </c>
      <c r="F80" s="173" t="n">
        <v>14340</v>
      </c>
      <c r="G80" s="190" t="n">
        <v>0.0159</v>
      </c>
      <c r="H80" s="190" t="n">
        <v>0.2975</v>
      </c>
      <c r="I80" s="6"/>
      <c r="J80" s="173" t="n">
        <v>14340</v>
      </c>
      <c r="K80" s="173" t="n">
        <v>14340</v>
      </c>
      <c r="L80" s="173" t="n">
        <v>14340</v>
      </c>
      <c r="M80" s="173" t="n">
        <v>0</v>
      </c>
      <c r="N80" s="186"/>
    </row>
    <row r="81" customFormat="false" ht="15" hidden="false" customHeight="false" outlineLevel="0" collapsed="false">
      <c r="A81" s="6" t="s">
        <v>5819</v>
      </c>
      <c r="B81" s="6" t="s">
        <v>5823</v>
      </c>
      <c r="C81" s="6" t="s">
        <v>5747</v>
      </c>
      <c r="D81" s="6" t="s">
        <v>3722</v>
      </c>
      <c r="E81" s="6" t="s">
        <v>5749</v>
      </c>
      <c r="F81" s="173" t="n">
        <v>7208</v>
      </c>
      <c r="G81" s="190" t="n">
        <v>0.008</v>
      </c>
      <c r="H81" s="190" t="n">
        <v>0.1495</v>
      </c>
      <c r="I81" s="6"/>
      <c r="J81" s="173" t="n">
        <v>0</v>
      </c>
      <c r="K81" s="173" t="n">
        <v>7208</v>
      </c>
      <c r="L81" s="173" t="n">
        <v>7208</v>
      </c>
      <c r="M81" s="173" t="n">
        <v>7208</v>
      </c>
      <c r="N81" s="186"/>
    </row>
    <row r="82" customFormat="false" ht="15" hidden="false" customHeight="false" outlineLevel="0" collapsed="false">
      <c r="A82" s="6" t="s">
        <v>5819</v>
      </c>
      <c r="B82" s="6" t="s">
        <v>5824</v>
      </c>
      <c r="C82" s="6" t="s">
        <v>5747</v>
      </c>
      <c r="D82" s="6" t="s">
        <v>3722</v>
      </c>
      <c r="E82" s="6" t="s">
        <v>3722</v>
      </c>
      <c r="F82" s="173" t="n">
        <v>12957</v>
      </c>
      <c r="G82" s="190" t="n">
        <v>0.0144</v>
      </c>
      <c r="H82" s="190" t="n">
        <v>0.2688</v>
      </c>
      <c r="I82" s="6"/>
      <c r="J82" s="173" t="n">
        <v>0</v>
      </c>
      <c r="K82" s="173" t="n">
        <v>25914</v>
      </c>
      <c r="L82" s="173" t="n">
        <v>0</v>
      </c>
      <c r="M82" s="173" t="n">
        <v>12957</v>
      </c>
      <c r="N82" s="186"/>
    </row>
    <row r="83" customFormat="false" ht="15" hidden="false" customHeight="false" outlineLevel="0" collapsed="false">
      <c r="A83" s="6" t="s">
        <v>5819</v>
      </c>
      <c r="B83" s="6" t="s">
        <v>5825</v>
      </c>
      <c r="C83" s="6" t="s">
        <v>5747</v>
      </c>
      <c r="D83" s="6" t="s">
        <v>3722</v>
      </c>
      <c r="E83" s="6" t="s">
        <v>5747</v>
      </c>
      <c r="F83" s="173" t="n">
        <v>4186</v>
      </c>
      <c r="G83" s="190" t="n">
        <v>0.0046</v>
      </c>
      <c r="H83" s="190" t="n">
        <v>0.0868</v>
      </c>
      <c r="I83" s="6"/>
      <c r="J83" s="173" t="n">
        <v>0</v>
      </c>
      <c r="K83" s="173" t="n">
        <v>4186</v>
      </c>
      <c r="L83" s="173" t="n">
        <v>0</v>
      </c>
      <c r="M83" s="173" t="n">
        <v>8372</v>
      </c>
      <c r="N83" s="186"/>
    </row>
    <row r="84" customFormat="false" ht="15" hidden="false" customHeight="false" outlineLevel="0" collapsed="false">
      <c r="A84" s="6"/>
      <c r="B84" s="6"/>
      <c r="C84" s="6"/>
      <c r="D84" s="6"/>
      <c r="E84" s="6"/>
      <c r="F84" s="191" t="n">
        <v>48209</v>
      </c>
      <c r="G84" s="193" t="n">
        <v>0.0534</v>
      </c>
      <c r="H84" s="193" t="n">
        <v>1.0001</v>
      </c>
      <c r="I84" s="6"/>
      <c r="J84" s="6"/>
      <c r="K84" s="6"/>
      <c r="L84" s="6"/>
      <c r="M84" s="6"/>
      <c r="N84" s="186"/>
    </row>
    <row r="85" customFormat="false" ht="15" hidden="false" customHeight="false" outlineLevel="0" collapsed="false">
      <c r="A85" s="6" t="s">
        <v>5826</v>
      </c>
      <c r="B85" s="6" t="s">
        <v>5827</v>
      </c>
      <c r="C85" s="6" t="s">
        <v>5747</v>
      </c>
      <c r="D85" s="6" t="s">
        <v>5745</v>
      </c>
      <c r="E85" s="6" t="s">
        <v>5749</v>
      </c>
      <c r="F85" s="173" t="n">
        <v>508</v>
      </c>
      <c r="G85" s="190" t="n">
        <v>0.0005</v>
      </c>
      <c r="H85" s="190" t="n">
        <v>0.1599</v>
      </c>
      <c r="I85" s="6"/>
      <c r="J85" s="173" t="n">
        <v>508</v>
      </c>
      <c r="K85" s="173" t="n">
        <v>0</v>
      </c>
      <c r="L85" s="173" t="n">
        <v>508</v>
      </c>
      <c r="M85" s="173" t="n">
        <v>508</v>
      </c>
      <c r="N85" s="186"/>
    </row>
    <row r="86" customFormat="false" ht="15" hidden="false" customHeight="false" outlineLevel="0" collapsed="false">
      <c r="A86" s="6" t="s">
        <v>5826</v>
      </c>
      <c r="B86" s="6" t="s">
        <v>5828</v>
      </c>
      <c r="C86" s="6" t="s">
        <v>5747</v>
      </c>
      <c r="D86" s="6" t="s">
        <v>5749</v>
      </c>
      <c r="E86" s="6" t="s">
        <v>5745</v>
      </c>
      <c r="F86" s="173" t="n">
        <v>1897</v>
      </c>
      <c r="G86" s="190" t="n">
        <v>0.0021</v>
      </c>
      <c r="H86" s="190" t="n">
        <v>0.5971</v>
      </c>
      <c r="I86" s="6"/>
      <c r="J86" s="173" t="n">
        <v>1897</v>
      </c>
      <c r="K86" s="173" t="n">
        <v>0</v>
      </c>
      <c r="L86" s="173" t="n">
        <v>1897</v>
      </c>
      <c r="M86" s="173" t="n">
        <v>1897</v>
      </c>
      <c r="N86" s="186"/>
    </row>
    <row r="87" customFormat="false" ht="15" hidden="false" customHeight="false" outlineLevel="0" collapsed="false">
      <c r="A87" s="6" t="s">
        <v>5826</v>
      </c>
      <c r="B87" s="6" t="s">
        <v>5829</v>
      </c>
      <c r="C87" s="6" t="s">
        <v>5747</v>
      </c>
      <c r="D87" s="6" t="s">
        <v>5745</v>
      </c>
      <c r="E87" s="6" t="s">
        <v>5745</v>
      </c>
      <c r="F87" s="173" t="n">
        <v>772</v>
      </c>
      <c r="G87" s="190" t="n">
        <v>0.0008</v>
      </c>
      <c r="H87" s="190" t="n">
        <v>0.243</v>
      </c>
      <c r="I87" s="6"/>
      <c r="J87" s="173" t="n">
        <v>1544</v>
      </c>
      <c r="K87" s="173" t="n">
        <v>0</v>
      </c>
      <c r="L87" s="173" t="n">
        <v>0</v>
      </c>
      <c r="M87" s="173" t="n">
        <v>772</v>
      </c>
      <c r="N87" s="186"/>
    </row>
    <row r="88" customFormat="false" ht="15" hidden="false" customHeight="false" outlineLevel="0" collapsed="false">
      <c r="A88" s="6"/>
      <c r="B88" s="6"/>
      <c r="C88" s="6"/>
      <c r="D88" s="6"/>
      <c r="E88" s="6"/>
      <c r="F88" s="191" t="n">
        <v>3177</v>
      </c>
      <c r="G88" s="193" t="n">
        <v>0.0034</v>
      </c>
      <c r="H88" s="193" t="n">
        <v>1</v>
      </c>
      <c r="I88" s="6"/>
      <c r="J88" s="6"/>
      <c r="K88" s="6"/>
      <c r="L88" s="6"/>
      <c r="M88" s="6"/>
      <c r="N88" s="186"/>
    </row>
    <row r="89" customFormat="false" ht="15" hidden="false" customHeight="false" outlineLevel="0" collapsed="false">
      <c r="A89" s="6" t="s">
        <v>5830</v>
      </c>
      <c r="B89" s="6" t="s">
        <v>5831</v>
      </c>
      <c r="C89" s="6" t="s">
        <v>5745</v>
      </c>
      <c r="D89" s="6" t="s">
        <v>3722</v>
      </c>
      <c r="E89" s="6" t="s">
        <v>5745</v>
      </c>
      <c r="F89" s="173" t="n">
        <v>4119</v>
      </c>
      <c r="G89" s="190" t="n">
        <v>0.0045</v>
      </c>
      <c r="H89" s="190" t="n">
        <v>0.093</v>
      </c>
      <c r="I89" s="6"/>
      <c r="J89" s="173" t="n">
        <v>8238</v>
      </c>
      <c r="K89" s="173" t="n">
        <v>4119</v>
      </c>
      <c r="L89" s="173" t="n">
        <v>0</v>
      </c>
      <c r="M89" s="173" t="n">
        <v>0</v>
      </c>
      <c r="N89" s="186"/>
    </row>
    <row r="90" customFormat="false" ht="15" hidden="false" customHeight="false" outlineLevel="0" collapsed="false">
      <c r="A90" s="6" t="s">
        <v>5830</v>
      </c>
      <c r="B90" s="6" t="s">
        <v>5832</v>
      </c>
      <c r="C90" s="6" t="s">
        <v>5745</v>
      </c>
      <c r="D90" s="6" t="s">
        <v>3722</v>
      </c>
      <c r="E90" s="6" t="s">
        <v>5747</v>
      </c>
      <c r="F90" s="173" t="n">
        <v>4246</v>
      </c>
      <c r="G90" s="190" t="n">
        <v>0.0047</v>
      </c>
      <c r="H90" s="190" t="n">
        <v>0.0959</v>
      </c>
      <c r="I90" s="6"/>
      <c r="J90" s="173" t="n">
        <v>4246</v>
      </c>
      <c r="K90" s="173" t="n">
        <v>4246</v>
      </c>
      <c r="L90" s="173" t="n">
        <v>0</v>
      </c>
      <c r="M90" s="173" t="n">
        <v>4246</v>
      </c>
      <c r="N90" s="186"/>
    </row>
    <row r="91" customFormat="false" ht="15" hidden="false" customHeight="false" outlineLevel="0" collapsed="false">
      <c r="A91" s="6" t="s">
        <v>5830</v>
      </c>
      <c r="B91" s="6" t="s">
        <v>5833</v>
      </c>
      <c r="C91" s="6" t="s">
        <v>5745</v>
      </c>
      <c r="D91" s="6" t="s">
        <v>3722</v>
      </c>
      <c r="E91" s="6" t="s">
        <v>3722</v>
      </c>
      <c r="F91" s="173" t="n">
        <v>23509</v>
      </c>
      <c r="G91" s="190" t="n">
        <v>0.0262</v>
      </c>
      <c r="H91" s="190" t="n">
        <v>0.5309</v>
      </c>
      <c r="I91" s="6"/>
      <c r="J91" s="173" t="n">
        <v>23509</v>
      </c>
      <c r="K91" s="173" t="n">
        <v>47018</v>
      </c>
      <c r="L91" s="173" t="n">
        <v>0</v>
      </c>
      <c r="M91" s="173" t="n">
        <v>0</v>
      </c>
      <c r="N91" s="186"/>
    </row>
    <row r="92" customFormat="false" ht="15" hidden="false" customHeight="false" outlineLevel="0" collapsed="false">
      <c r="A92" s="6" t="s">
        <v>5830</v>
      </c>
      <c r="B92" s="6" t="s">
        <v>5834</v>
      </c>
      <c r="C92" s="6" t="s">
        <v>5745</v>
      </c>
      <c r="D92" s="6" t="s">
        <v>3722</v>
      </c>
      <c r="E92" s="6" t="s">
        <v>5749</v>
      </c>
      <c r="F92" s="173" t="n">
        <v>12404</v>
      </c>
      <c r="G92" s="190" t="n">
        <v>0.0138</v>
      </c>
      <c r="H92" s="190" t="n">
        <v>0.2801</v>
      </c>
      <c r="I92" s="6"/>
      <c r="J92" s="173" t="n">
        <v>12404</v>
      </c>
      <c r="K92" s="173" t="n">
        <v>12404</v>
      </c>
      <c r="L92" s="173" t="n">
        <v>12404</v>
      </c>
      <c r="M92" s="173" t="n">
        <v>0</v>
      </c>
      <c r="N92" s="186"/>
    </row>
    <row r="93" customFormat="false" ht="15" hidden="false" customHeight="false" outlineLevel="0" collapsed="false">
      <c r="A93" s="6"/>
      <c r="B93" s="6"/>
      <c r="C93" s="6"/>
      <c r="D93" s="6"/>
      <c r="E93" s="6"/>
      <c r="F93" s="191" t="n">
        <v>44278</v>
      </c>
      <c r="G93" s="193" t="n">
        <v>0.0492</v>
      </c>
      <c r="H93" s="193" t="n">
        <v>0.9999</v>
      </c>
      <c r="I93" s="6"/>
      <c r="J93" s="6"/>
      <c r="K93" s="6"/>
      <c r="L93" s="6"/>
      <c r="M93" s="6"/>
      <c r="N93" s="186"/>
    </row>
    <row r="94" customFormat="false" ht="15" hidden="false" customHeight="false" outlineLevel="0" collapsed="false">
      <c r="A94" s="6" t="s">
        <v>5835</v>
      </c>
      <c r="B94" s="6" t="s">
        <v>5836</v>
      </c>
      <c r="C94" s="6" t="s">
        <v>5747</v>
      </c>
      <c r="D94" s="6" t="s">
        <v>5749</v>
      </c>
      <c r="E94" s="6" t="s">
        <v>5749</v>
      </c>
      <c r="F94" s="173" t="n">
        <v>14323</v>
      </c>
      <c r="G94" s="190" t="n">
        <v>0.0159</v>
      </c>
      <c r="H94" s="190" t="n">
        <v>1</v>
      </c>
      <c r="I94" s="6"/>
      <c r="J94" s="173" t="n">
        <v>0</v>
      </c>
      <c r="K94" s="173" t="n">
        <v>0</v>
      </c>
      <c r="L94" s="173" t="n">
        <v>28646</v>
      </c>
      <c r="M94" s="173" t="n">
        <v>14323</v>
      </c>
      <c r="N94" s="186"/>
    </row>
    <row r="95" customFormat="false" ht="15" hidden="false" customHeight="false" outlineLevel="0" collapsed="false">
      <c r="A95" s="6"/>
      <c r="B95" s="6"/>
      <c r="C95" s="6"/>
      <c r="D95" s="6"/>
      <c r="E95" s="6"/>
      <c r="F95" s="191" t="n">
        <v>14323</v>
      </c>
      <c r="G95" s="192" t="n">
        <v>0.0159</v>
      </c>
      <c r="H95" s="192" t="n">
        <v>1</v>
      </c>
      <c r="I95" s="6"/>
      <c r="J95" s="6"/>
      <c r="K95" s="6"/>
      <c r="L95" s="6"/>
      <c r="M95" s="6"/>
      <c r="N95" s="186"/>
    </row>
    <row r="96" customFormat="false" ht="15" hidden="false" customHeight="false" outlineLevel="0" collapsed="false">
      <c r="A96" s="6" t="s">
        <v>5837</v>
      </c>
      <c r="B96" s="6" t="s">
        <v>5838</v>
      </c>
      <c r="C96" s="6" t="s">
        <v>5747</v>
      </c>
      <c r="D96" s="6" t="s">
        <v>5745</v>
      </c>
      <c r="E96" s="6" t="s">
        <v>5747</v>
      </c>
      <c r="F96" s="173" t="n">
        <v>12914</v>
      </c>
      <c r="G96" s="190" t="n">
        <v>0.0144</v>
      </c>
      <c r="H96" s="190" t="n">
        <v>0.5506</v>
      </c>
      <c r="I96" s="6"/>
      <c r="J96" s="173" t="n">
        <v>12914</v>
      </c>
      <c r="K96" s="173" t="n">
        <v>0</v>
      </c>
      <c r="L96" s="173" t="n">
        <v>0</v>
      </c>
      <c r="M96" s="173" t="n">
        <v>25828</v>
      </c>
      <c r="N96" s="186"/>
    </row>
    <row r="97" customFormat="false" ht="15" hidden="false" customHeight="false" outlineLevel="0" collapsed="false">
      <c r="A97" s="6" t="s">
        <v>5837</v>
      </c>
      <c r="B97" s="6" t="s">
        <v>5839</v>
      </c>
      <c r="C97" s="6" t="s">
        <v>5747</v>
      </c>
      <c r="D97" s="6" t="s">
        <v>5745</v>
      </c>
      <c r="E97" s="6" t="s">
        <v>3722</v>
      </c>
      <c r="F97" s="173" t="n">
        <v>10539</v>
      </c>
      <c r="G97" s="190" t="n">
        <v>0.0117</v>
      </c>
      <c r="H97" s="190" t="n">
        <v>0.4494</v>
      </c>
      <c r="I97" s="6"/>
      <c r="J97" s="173" t="n">
        <v>10539</v>
      </c>
      <c r="K97" s="173" t="n">
        <v>10539</v>
      </c>
      <c r="L97" s="173" t="n">
        <v>0</v>
      </c>
      <c r="M97" s="173" t="n">
        <v>10539</v>
      </c>
      <c r="N97" s="186"/>
    </row>
    <row r="98" customFormat="false" ht="15" hidden="false" customHeight="false" outlineLevel="0" collapsed="false">
      <c r="A98" s="186" t="s">
        <v>3955</v>
      </c>
      <c r="B98" s="6"/>
      <c r="C98" s="6"/>
      <c r="D98" s="6"/>
      <c r="E98" s="6"/>
      <c r="F98" s="191" t="n">
        <v>23453</v>
      </c>
      <c r="G98" s="193" t="n">
        <v>0.0261</v>
      </c>
      <c r="H98" s="193" t="n">
        <v>1</v>
      </c>
      <c r="I98" s="6"/>
      <c r="J98" s="173" t="n">
        <v>0</v>
      </c>
      <c r="K98" s="173" t="n">
        <v>0</v>
      </c>
      <c r="L98" s="173" t="n">
        <v>0</v>
      </c>
      <c r="M98" s="173" t="n">
        <v>0</v>
      </c>
      <c r="N98" s="186"/>
    </row>
    <row r="99" customFormat="false" ht="15" hidden="false" customHeight="false" outlineLevel="0" collapsed="false">
      <c r="A99" s="6" t="s">
        <v>5840</v>
      </c>
      <c r="B99" s="6" t="s">
        <v>5841</v>
      </c>
      <c r="C99" s="6" t="s">
        <v>5749</v>
      </c>
      <c r="D99" s="6" t="s">
        <v>5747</v>
      </c>
      <c r="E99" s="6" t="s">
        <v>3722</v>
      </c>
      <c r="F99" s="173" t="n">
        <v>19515</v>
      </c>
      <c r="G99" s="190" t="n">
        <v>0.0217</v>
      </c>
      <c r="H99" s="190" t="n">
        <v>0.309</v>
      </c>
      <c r="I99" s="6"/>
      <c r="J99" s="173" t="n">
        <v>0</v>
      </c>
      <c r="K99" s="173" t="n">
        <v>19515</v>
      </c>
      <c r="L99" s="173" t="n">
        <v>19515</v>
      </c>
      <c r="M99" s="173" t="n">
        <v>19515</v>
      </c>
      <c r="N99" s="186"/>
    </row>
    <row r="100" customFormat="false" ht="15" hidden="false" customHeight="false" outlineLevel="0" collapsed="false">
      <c r="A100" s="6" t="s">
        <v>5840</v>
      </c>
      <c r="B100" s="6" t="s">
        <v>5842</v>
      </c>
      <c r="C100" s="6" t="s">
        <v>5749</v>
      </c>
      <c r="D100" s="6" t="s">
        <v>5747</v>
      </c>
      <c r="E100" s="6" t="s">
        <v>5749</v>
      </c>
      <c r="F100" s="173" t="n">
        <v>27826</v>
      </c>
      <c r="G100" s="190" t="n">
        <v>0.031</v>
      </c>
      <c r="H100" s="190" t="n">
        <v>0.4406</v>
      </c>
      <c r="I100" s="6"/>
      <c r="J100" s="173" t="n">
        <v>0</v>
      </c>
      <c r="K100" s="173" t="n">
        <v>0</v>
      </c>
      <c r="L100" s="173" t="n">
        <v>55652</v>
      </c>
      <c r="M100" s="173" t="n">
        <v>27826</v>
      </c>
      <c r="N100" s="186"/>
    </row>
    <row r="101" customFormat="false" ht="15" hidden="false" customHeight="false" outlineLevel="0" collapsed="false">
      <c r="A101" s="6" t="s">
        <v>5840</v>
      </c>
      <c r="B101" s="6" t="s">
        <v>5843</v>
      </c>
      <c r="C101" s="6" t="s">
        <v>5749</v>
      </c>
      <c r="D101" s="6" t="s">
        <v>5747</v>
      </c>
      <c r="E101" s="6" t="s">
        <v>5747</v>
      </c>
      <c r="F101" s="173" t="n">
        <v>8036</v>
      </c>
      <c r="G101" s="190" t="n">
        <v>0.0089</v>
      </c>
      <c r="H101" s="190" t="n">
        <v>0.1272</v>
      </c>
      <c r="I101" s="6"/>
      <c r="J101" s="173" t="n">
        <v>0</v>
      </c>
      <c r="K101" s="173" t="n">
        <v>0</v>
      </c>
      <c r="L101" s="173" t="n">
        <v>8036</v>
      </c>
      <c r="M101" s="173" t="n">
        <v>16072</v>
      </c>
      <c r="N101" s="186"/>
    </row>
    <row r="102" customFormat="false" ht="15" hidden="false" customHeight="false" outlineLevel="0" collapsed="false">
      <c r="A102" s="6" t="s">
        <v>5840</v>
      </c>
      <c r="B102" s="6" t="s">
        <v>5844</v>
      </c>
      <c r="C102" s="6" t="s">
        <v>5749</v>
      </c>
      <c r="D102" s="6" t="s">
        <v>5747</v>
      </c>
      <c r="E102" s="6" t="s">
        <v>5745</v>
      </c>
      <c r="F102" s="173" t="n">
        <v>7780</v>
      </c>
      <c r="G102" s="190" t="n">
        <v>0.0086</v>
      </c>
      <c r="H102" s="190" t="n">
        <v>0.1232</v>
      </c>
      <c r="I102" s="6"/>
      <c r="J102" s="173" t="n">
        <v>7780</v>
      </c>
      <c r="K102" s="173" t="n">
        <v>0</v>
      </c>
      <c r="L102" s="173" t="n">
        <v>7780</v>
      </c>
      <c r="M102" s="173" t="n">
        <v>7780</v>
      </c>
      <c r="N102" s="186"/>
    </row>
    <row r="103" customFormat="false" ht="15" hidden="false" customHeight="false" outlineLevel="0" collapsed="false">
      <c r="A103" s="186" t="s">
        <v>3955</v>
      </c>
      <c r="B103" s="6"/>
      <c r="C103" s="6"/>
      <c r="D103" s="6"/>
      <c r="E103" s="6"/>
      <c r="F103" s="191" t="n">
        <v>63157</v>
      </c>
      <c r="G103" s="193" t="n">
        <v>0.0702</v>
      </c>
      <c r="H103" s="193" t="n">
        <v>1</v>
      </c>
      <c r="I103" s="6" t="s">
        <v>5845</v>
      </c>
      <c r="J103" s="173" t="n">
        <v>534056</v>
      </c>
      <c r="K103" s="173" t="n">
        <v>783090</v>
      </c>
      <c r="L103" s="173" t="n">
        <v>812090</v>
      </c>
      <c r="M103" s="173" t="n">
        <v>559835</v>
      </c>
      <c r="N103" s="186"/>
    </row>
    <row r="104" customFormat="false" ht="15" hidden="false" customHeight="false" outlineLevel="0" collapsed="false">
      <c r="A104" s="186" t="s">
        <v>3955</v>
      </c>
      <c r="B104" s="6" t="s">
        <v>5846</v>
      </c>
      <c r="C104" s="6"/>
      <c r="D104" s="6"/>
      <c r="E104" s="6"/>
      <c r="F104" s="173" t="n">
        <v>896357</v>
      </c>
      <c r="G104" s="173" t="n">
        <v>0.9964</v>
      </c>
      <c r="H104" s="195" t="s">
        <v>3955</v>
      </c>
      <c r="I104" s="6" t="s">
        <v>5847</v>
      </c>
      <c r="J104" s="173" t="n">
        <v>3949</v>
      </c>
      <c r="K104" s="173" t="n">
        <v>0</v>
      </c>
      <c r="L104" s="173" t="n">
        <v>2405</v>
      </c>
      <c r="M104" s="173" t="n">
        <v>3177</v>
      </c>
      <c r="N104" s="18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 t="s">
        <v>5848</v>
      </c>
      <c r="J105" s="173" t="n">
        <v>530107</v>
      </c>
      <c r="K105" s="173" t="n">
        <v>783090</v>
      </c>
      <c r="L105" s="173" t="n">
        <v>809685</v>
      </c>
      <c r="M105" s="173" t="n">
        <v>556658</v>
      </c>
      <c r="N105" s="186" t="n">
        <v>2679540</v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196" t="s">
        <v>3939</v>
      </c>
      <c r="K106" s="196" t="s">
        <v>4089</v>
      </c>
      <c r="L106" s="196" t="s">
        <v>4610</v>
      </c>
      <c r="M106" s="196" t="s">
        <v>5550</v>
      </c>
      <c r="N106" s="18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196" t="n">
        <v>0.19783507616979</v>
      </c>
      <c r="K107" s="196" t="n">
        <v>0.292247923150989</v>
      </c>
      <c r="L107" s="196" t="n">
        <v>0.302173134194675</v>
      </c>
      <c r="M107" s="196" t="n">
        <v>0.207743866484546</v>
      </c>
      <c r="N107" s="186"/>
    </row>
    <row r="109" customFormat="false" ht="20.25" hidden="false" customHeight="false" outlineLevel="0" collapsed="false">
      <c r="A109" s="164" t="s">
        <v>5849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</row>
    <row r="111" customFormat="false" ht="15" hidden="false" customHeight="false" outlineLevel="0" collapsed="false">
      <c r="A111" s="167" t="s">
        <v>5850</v>
      </c>
      <c r="B111" s="6"/>
      <c r="C111" s="6"/>
    </row>
    <row r="112" customFormat="false" ht="37.5" hidden="false" customHeight="false" outlineLevel="0" collapsed="false">
      <c r="A112" s="198" t="s">
        <v>3244</v>
      </c>
      <c r="B112" s="198" t="s">
        <v>3245</v>
      </c>
      <c r="C112" s="199" t="s">
        <v>5851</v>
      </c>
      <c r="E112" s="7"/>
    </row>
    <row r="113" customFormat="false" ht="15.75" hidden="false" customHeight="false" outlineLevel="0" collapsed="false">
      <c r="A113" s="173" t="s">
        <v>5852</v>
      </c>
      <c r="B113" s="173" t="s">
        <v>5853</v>
      </c>
      <c r="C113" s="173" t="n">
        <v>0.08</v>
      </c>
      <c r="E113" s="7"/>
    </row>
    <row r="114" customFormat="false" ht="15" hidden="false" customHeight="false" outlineLevel="0" collapsed="false">
      <c r="A114" s="173" t="s">
        <v>5854</v>
      </c>
      <c r="B114" s="173" t="s">
        <v>3467</v>
      </c>
      <c r="C114" s="173" t="n">
        <v>0.1</v>
      </c>
      <c r="E114" s="7"/>
    </row>
    <row r="115" customFormat="false" ht="15" hidden="false" customHeight="false" outlineLevel="0" collapsed="false">
      <c r="A115" s="173" t="s">
        <v>5855</v>
      </c>
      <c r="B115" s="173" t="s">
        <v>5175</v>
      </c>
      <c r="C115" s="173" t="n">
        <v>0.01</v>
      </c>
      <c r="E115" s="7"/>
    </row>
    <row r="116" customFormat="false" ht="15" hidden="false" customHeight="false" outlineLevel="0" collapsed="false">
      <c r="A116" s="173" t="s">
        <v>5856</v>
      </c>
      <c r="B116" s="173" t="s">
        <v>4990</v>
      </c>
      <c r="C116" s="173" t="n">
        <v>0.11</v>
      </c>
      <c r="E116" s="7"/>
    </row>
    <row r="117" customFormat="false" ht="15" hidden="false" customHeight="false" outlineLevel="0" collapsed="false">
      <c r="A117" s="173" t="s">
        <v>5857</v>
      </c>
      <c r="B117" s="173" t="s">
        <v>4014</v>
      </c>
      <c r="C117" s="173" t="n">
        <v>0.21</v>
      </c>
      <c r="E117" s="7"/>
    </row>
    <row r="118" customFormat="false" ht="15" hidden="false" customHeight="false" outlineLevel="0" collapsed="false">
      <c r="A118" s="173" t="s">
        <v>5858</v>
      </c>
      <c r="B118" s="173" t="s">
        <v>4710</v>
      </c>
      <c r="C118" s="173" t="n">
        <v>0.02</v>
      </c>
      <c r="E118" s="7"/>
    </row>
    <row r="119" customFormat="false" ht="15" hidden="false" customHeight="false" outlineLevel="0" collapsed="false">
      <c r="A119" s="173" t="s">
        <v>5859</v>
      </c>
      <c r="B119" s="173" t="s">
        <v>5352</v>
      </c>
      <c r="C119" s="173" t="n">
        <v>0.02</v>
      </c>
      <c r="E119" s="7"/>
    </row>
    <row r="120" customFormat="false" ht="15" hidden="false" customHeight="false" outlineLevel="0" collapsed="false">
      <c r="A120" s="173" t="s">
        <v>5860</v>
      </c>
      <c r="B120" s="173" t="s">
        <v>4954</v>
      </c>
      <c r="C120" s="173" t="n">
        <v>0.02</v>
      </c>
      <c r="E120" s="7"/>
    </row>
    <row r="121" customFormat="false" ht="15" hidden="false" customHeight="false" outlineLevel="0" collapsed="false">
      <c r="A121" s="169" t="s">
        <v>5861</v>
      </c>
      <c r="B121" s="169" t="s">
        <v>4963</v>
      </c>
      <c r="C121" s="169" t="n">
        <v>0.36</v>
      </c>
      <c r="E121" s="7"/>
    </row>
    <row r="122" customFormat="false" ht="15" hidden="false" customHeight="false" outlineLevel="0" collapsed="false">
      <c r="A122" s="175" t="s">
        <v>5862</v>
      </c>
      <c r="B122" s="175" t="s">
        <v>5863</v>
      </c>
      <c r="C122" s="175" t="n">
        <v>0.07</v>
      </c>
      <c r="E122" s="7"/>
    </row>
    <row r="123" customFormat="false" ht="15" hidden="false" customHeight="false" outlineLevel="0" collapsed="false">
      <c r="A123" s="6"/>
      <c r="B123" s="6"/>
      <c r="C123" s="6"/>
    </row>
    <row r="124" customFormat="false" ht="15" hidden="false" customHeight="false" outlineLevel="0" collapsed="false">
      <c r="A124" s="6"/>
      <c r="B124" s="6"/>
      <c r="C124" s="6"/>
    </row>
    <row r="125" customFormat="false" ht="15" hidden="false" customHeight="false" outlineLevel="0" collapsed="false">
      <c r="A125" s="167" t="s">
        <v>5864</v>
      </c>
      <c r="B125" s="6"/>
      <c r="C125" s="6"/>
    </row>
    <row r="126" customFormat="false" ht="36.75" hidden="false" customHeight="false" outlineLevel="0" collapsed="false">
      <c r="A126" s="198" t="s">
        <v>3244</v>
      </c>
      <c r="B126" s="198" t="s">
        <v>3245</v>
      </c>
      <c r="C126" s="198" t="s">
        <v>5865</v>
      </c>
    </row>
    <row r="127" customFormat="false" ht="15.75" hidden="false" customHeight="false" outlineLevel="0" collapsed="false">
      <c r="A127" s="200" t="s">
        <v>5866</v>
      </c>
      <c r="B127" s="200" t="s">
        <v>5020</v>
      </c>
      <c r="C127" s="200" t="n">
        <v>0.37</v>
      </c>
    </row>
    <row r="128" customFormat="false" ht="15" hidden="false" customHeight="false" outlineLevel="0" collapsed="false">
      <c r="A128" s="200" t="s">
        <v>5867</v>
      </c>
      <c r="B128" s="200" t="s">
        <v>5013</v>
      </c>
      <c r="C128" s="200" t="n">
        <v>0.15</v>
      </c>
    </row>
    <row r="129" customFormat="false" ht="15" hidden="false" customHeight="false" outlineLevel="0" collapsed="false">
      <c r="A129" s="200" t="s">
        <v>5868</v>
      </c>
      <c r="B129" s="200" t="s">
        <v>5178</v>
      </c>
      <c r="C129" s="200" t="n">
        <v>0.43</v>
      </c>
    </row>
    <row r="130" customFormat="false" ht="15" hidden="false" customHeight="false" outlineLevel="0" collapsed="false">
      <c r="A130" s="201" t="s">
        <v>5869</v>
      </c>
      <c r="B130" s="201" t="s">
        <v>4045</v>
      </c>
      <c r="C130" s="201" t="n">
        <v>0.05</v>
      </c>
    </row>
    <row r="132" customFormat="false" ht="20.25" hidden="false" customHeight="false" outlineLevel="0" collapsed="false">
      <c r="A132" s="164" t="s">
        <v>5870</v>
      </c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</row>
    <row r="134" customFormat="false" ht="17.25" hidden="false" customHeight="false" outlineLevel="0" collapsed="false">
      <c r="A134" s="2" t="s">
        <v>5871</v>
      </c>
    </row>
    <row r="135" customFormat="false" ht="24.75" hidden="false" customHeight="false" outlineLevel="0" collapsed="false">
      <c r="A135" s="198" t="s">
        <v>3244</v>
      </c>
      <c r="B135" s="198" t="s">
        <v>3245</v>
      </c>
      <c r="C135" s="198" t="s">
        <v>5872</v>
      </c>
    </row>
    <row r="136" customFormat="false" ht="15.75" hidden="false" customHeight="false" outlineLevel="0" collapsed="false">
      <c r="A136" s="3" t="s">
        <v>5873</v>
      </c>
      <c r="C136" s="202" t="n">
        <v>0.218274111675127</v>
      </c>
      <c r="D136" s="203"/>
    </row>
    <row r="137" customFormat="false" ht="15" hidden="false" customHeight="false" outlineLevel="0" collapsed="false">
      <c r="A137" s="3" t="s">
        <v>5874</v>
      </c>
      <c r="C137" s="202" t="n">
        <v>0.0050761421319797</v>
      </c>
      <c r="D137" s="203"/>
    </row>
    <row r="138" customFormat="false" ht="15" hidden="false" customHeight="false" outlineLevel="0" collapsed="false">
      <c r="A138" s="3" t="s">
        <v>5875</v>
      </c>
      <c r="C138" s="202" t="n">
        <v>0.263959390862944</v>
      </c>
      <c r="D138" s="203"/>
    </row>
    <row r="139" customFormat="false" ht="15" hidden="false" customHeight="false" outlineLevel="0" collapsed="false">
      <c r="A139" s="204" t="s">
        <v>5876</v>
      </c>
      <c r="B139" s="204"/>
      <c r="C139" s="205" t="n">
        <v>0.50761421319797</v>
      </c>
      <c r="D139" s="203"/>
    </row>
    <row r="140" customFormat="false" ht="15" hidden="false" customHeight="false" outlineLevel="0" collapsed="false">
      <c r="A140" s="206" t="s">
        <v>5877</v>
      </c>
      <c r="B140" s="8"/>
      <c r="C140" s="207" t="n">
        <v>0.0050761421319797</v>
      </c>
      <c r="D140" s="203"/>
    </row>
    <row r="142" customFormat="false" ht="17.25" hidden="false" customHeight="false" outlineLevel="0" collapsed="false">
      <c r="A142" s="2" t="s">
        <v>5878</v>
      </c>
    </row>
    <row r="143" customFormat="false" ht="24.75" hidden="false" customHeight="false" outlineLevel="0" collapsed="false">
      <c r="A143" s="198" t="s">
        <v>3244</v>
      </c>
      <c r="B143" s="198" t="s">
        <v>3245</v>
      </c>
      <c r="C143" s="198" t="s">
        <v>5872</v>
      </c>
    </row>
    <row r="144" customFormat="false" ht="15.75" hidden="false" customHeight="false" outlineLevel="0" collapsed="false">
      <c r="A144" s="3" t="s">
        <v>5879</v>
      </c>
      <c r="C144" s="1" t="n">
        <v>0.84</v>
      </c>
      <c r="E144" s="203"/>
    </row>
    <row r="145" customFormat="false" ht="15" hidden="false" customHeight="false" outlineLevel="0" collapsed="false">
      <c r="A145" s="206" t="s">
        <v>5880</v>
      </c>
      <c r="B145" s="8"/>
      <c r="C145" s="8" t="n">
        <v>0.16</v>
      </c>
      <c r="E145" s="203"/>
    </row>
    <row r="148" customFormat="false" ht="20.25" hidden="false" customHeight="false" outlineLevel="0" collapsed="false">
      <c r="A148" s="164" t="s">
        <v>5881</v>
      </c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</row>
    <row r="150" customFormat="false" ht="17.25" hidden="false" customHeight="false" outlineLevel="0" collapsed="false">
      <c r="A150" s="2" t="s">
        <v>5882</v>
      </c>
    </row>
    <row r="151" customFormat="false" ht="24.75" hidden="false" customHeight="false" outlineLevel="0" collapsed="false">
      <c r="A151" s="198" t="s">
        <v>3244</v>
      </c>
      <c r="B151" s="198" t="s">
        <v>3245</v>
      </c>
      <c r="C151" s="198" t="s">
        <v>5883</v>
      </c>
      <c r="D151" s="198" t="s">
        <v>5872</v>
      </c>
    </row>
    <row r="152" customFormat="false" ht="17.25" hidden="false" customHeight="true" outlineLevel="0" collapsed="false">
      <c r="A152" s="208" t="s">
        <v>5873</v>
      </c>
      <c r="B152" s="173" t="s">
        <v>4298</v>
      </c>
      <c r="C152" s="209" t="s">
        <v>5884</v>
      </c>
      <c r="D152" s="208" t="n">
        <v>0.17</v>
      </c>
    </row>
    <row r="153" customFormat="false" ht="15" hidden="false" customHeight="false" outlineLevel="0" collapsed="false">
      <c r="A153" s="169" t="s">
        <v>5885</v>
      </c>
      <c r="B153" s="173" t="s">
        <v>4487</v>
      </c>
      <c r="C153" s="209"/>
      <c r="D153" s="169" t="n">
        <v>0.255</v>
      </c>
    </row>
    <row r="154" customFormat="false" ht="15" hidden="false" customHeight="false" outlineLevel="0" collapsed="false">
      <c r="A154" s="169" t="s">
        <v>5886</v>
      </c>
      <c r="B154" s="173" t="s">
        <v>5508</v>
      </c>
      <c r="C154" s="209"/>
      <c r="D154" s="169" t="n">
        <v>0.01</v>
      </c>
    </row>
    <row r="155" customFormat="false" ht="15" hidden="false" customHeight="false" outlineLevel="0" collapsed="false">
      <c r="A155" s="169" t="s">
        <v>5874</v>
      </c>
      <c r="B155" s="173" t="s">
        <v>4492</v>
      </c>
      <c r="C155" s="209"/>
      <c r="D155" s="169" t="n">
        <v>0.005</v>
      </c>
    </row>
    <row r="156" customFormat="false" ht="15" hidden="false" customHeight="false" outlineLevel="0" collapsed="false">
      <c r="A156" s="169" t="s">
        <v>5875</v>
      </c>
      <c r="B156" s="173" t="s">
        <v>4293</v>
      </c>
      <c r="C156" s="209"/>
      <c r="D156" s="169" t="n">
        <v>0.11</v>
      </c>
    </row>
    <row r="157" customFormat="false" ht="15" hidden="false" customHeight="false" outlineLevel="0" collapsed="false">
      <c r="A157" s="175" t="s">
        <v>5887</v>
      </c>
      <c r="B157" s="175" t="s">
        <v>5497</v>
      </c>
      <c r="C157" s="209"/>
      <c r="D157" s="175" t="n">
        <v>0.04</v>
      </c>
    </row>
    <row r="158" customFormat="false" ht="15.75" hidden="false" customHeight="true" outlineLevel="0" collapsed="false">
      <c r="A158" s="210" t="s">
        <v>5852</v>
      </c>
      <c r="B158" s="173" t="s">
        <v>4183</v>
      </c>
      <c r="C158" s="211" t="s">
        <v>5888</v>
      </c>
      <c r="D158" s="210" t="n">
        <v>0.02</v>
      </c>
    </row>
    <row r="159" customFormat="false" ht="15" hidden="false" customHeight="false" outlineLevel="0" collapsed="false">
      <c r="A159" s="169" t="s">
        <v>5889</v>
      </c>
      <c r="B159" s="173" t="s">
        <v>4885</v>
      </c>
      <c r="C159" s="211"/>
      <c r="D159" s="169" t="n">
        <v>0.004</v>
      </c>
    </row>
    <row r="160" customFormat="false" ht="15" hidden="false" customHeight="false" outlineLevel="0" collapsed="false">
      <c r="A160" s="169" t="s">
        <v>5854</v>
      </c>
      <c r="B160" s="173" t="s">
        <v>4990</v>
      </c>
      <c r="C160" s="211"/>
      <c r="D160" s="169" t="n">
        <v>0.08</v>
      </c>
    </row>
    <row r="161" customFormat="false" ht="15" hidden="false" customHeight="false" outlineLevel="0" collapsed="false">
      <c r="A161" s="169" t="s">
        <v>5855</v>
      </c>
      <c r="B161" s="173" t="s">
        <v>4710</v>
      </c>
      <c r="C161" s="211"/>
      <c r="D161" s="169" t="n">
        <v>0.01</v>
      </c>
    </row>
    <row r="162" customFormat="false" ht="15" hidden="false" customHeight="false" outlineLevel="0" collapsed="false">
      <c r="A162" s="169" t="s">
        <v>5856</v>
      </c>
      <c r="B162" s="173" t="s">
        <v>4954</v>
      </c>
      <c r="C162" s="211"/>
      <c r="D162" s="169" t="n">
        <v>0.17</v>
      </c>
    </row>
    <row r="163" customFormat="false" ht="15" hidden="false" customHeight="false" outlineLevel="0" collapsed="false">
      <c r="A163" s="169" t="s">
        <v>5890</v>
      </c>
      <c r="B163" s="173" t="s">
        <v>4933</v>
      </c>
      <c r="C163" s="211"/>
      <c r="D163" s="169" t="n">
        <v>0.03</v>
      </c>
    </row>
    <row r="164" customFormat="false" ht="15" hidden="false" customHeight="false" outlineLevel="0" collapsed="false">
      <c r="A164" s="175" t="s">
        <v>5891</v>
      </c>
      <c r="B164" s="175" t="s">
        <v>3911</v>
      </c>
      <c r="C164" s="211"/>
      <c r="D164" s="175" t="n">
        <v>0.01</v>
      </c>
    </row>
  </sheetData>
  <mergeCells count="9">
    <mergeCell ref="A3:A4"/>
    <mergeCell ref="B3:B4"/>
    <mergeCell ref="C3:C4"/>
    <mergeCell ref="D3:D4"/>
    <mergeCell ref="F17:F18"/>
    <mergeCell ref="G17:G18"/>
    <mergeCell ref="H17:H18"/>
    <mergeCell ref="C152:C157"/>
    <mergeCell ref="C158:C1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15.72"/>
    <col collapsed="false" customWidth="true" hidden="false" outlineLevel="0" max="3" min="3" style="1" width="13.77"/>
    <col collapsed="false" customWidth="true" hidden="false" outlineLevel="0" max="4" min="4" style="1" width="16.11"/>
    <col collapsed="false" customWidth="true" hidden="false" outlineLevel="0" max="5" min="5" style="1" width="9.22"/>
    <col collapsed="false" customWidth="true" hidden="false" outlineLevel="0" max="6" min="6" style="1" width="9.61"/>
    <col collapsed="false" customWidth="true" hidden="false" outlineLevel="0" max="7" min="7" style="1" width="16.11"/>
    <col collapsed="false" customWidth="true" hidden="false" outlineLevel="0" max="8" min="8" style="1" width="18.19"/>
    <col collapsed="false" customWidth="true" hidden="false" outlineLevel="0" max="9" min="9" style="1" width="11.69"/>
    <col collapsed="false" customWidth="true" hidden="false" outlineLevel="0" max="10" min="10" style="1" width="9.48"/>
    <col collapsed="false" customWidth="true" hidden="false" outlineLevel="0" max="11" min="11" style="1" width="13.77"/>
    <col collapsed="false" customWidth="true" hidden="false" outlineLevel="0" max="12" min="12" style="1" width="16.37"/>
    <col collapsed="false" customWidth="true" hidden="false" outlineLevel="0" max="13" min="13" style="1" width="8.31"/>
  </cols>
  <sheetData>
    <row r="2" customFormat="false" ht="15" hidden="false" customHeight="true" outlineLevel="0" collapsed="false">
      <c r="A2" s="212" t="s">
        <v>5892</v>
      </c>
      <c r="B2" s="212" t="s">
        <v>5893</v>
      </c>
      <c r="C2" s="212" t="s">
        <v>5894</v>
      </c>
      <c r="D2" s="212" t="s">
        <v>5895</v>
      </c>
      <c r="E2" s="6"/>
      <c r="F2" s="212" t="s">
        <v>5892</v>
      </c>
      <c r="G2" s="212" t="s">
        <v>5896</v>
      </c>
      <c r="H2" s="212" t="s">
        <v>5895</v>
      </c>
      <c r="I2" s="6"/>
      <c r="J2" s="212" t="s">
        <v>5892</v>
      </c>
      <c r="K2" s="212" t="s">
        <v>5897</v>
      </c>
      <c r="L2" s="212" t="s">
        <v>5895</v>
      </c>
      <c r="M2" s="6"/>
    </row>
    <row r="3" customFormat="false" ht="21" hidden="false" customHeight="true" outlineLevel="0" collapsed="false">
      <c r="A3" s="212"/>
      <c r="B3" s="212"/>
      <c r="C3" s="212"/>
      <c r="D3" s="212"/>
      <c r="E3" s="6"/>
      <c r="F3" s="212"/>
      <c r="G3" s="212"/>
      <c r="H3" s="212"/>
      <c r="I3" s="6"/>
      <c r="J3" s="212"/>
      <c r="K3" s="212"/>
      <c r="L3" s="212"/>
      <c r="M3" s="6"/>
    </row>
    <row r="4" customFormat="false" ht="15.75" hidden="false" customHeight="false" outlineLevel="0" collapsed="false">
      <c r="A4" s="213" t="n">
        <v>0.086</v>
      </c>
      <c r="B4" s="214" t="n">
        <v>296.669166666667</v>
      </c>
      <c r="C4" s="215" t="n">
        <v>65.0465</v>
      </c>
      <c r="D4" s="215" t="n">
        <v>3.895</v>
      </c>
      <c r="E4" s="6"/>
      <c r="F4" s="216" t="n">
        <v>0.02</v>
      </c>
      <c r="G4" s="216" t="n">
        <v>2.6</v>
      </c>
      <c r="H4" s="217" t="n">
        <v>0.719981583793738</v>
      </c>
      <c r="I4" s="6"/>
      <c r="J4" s="218" t="n">
        <v>0.026</v>
      </c>
      <c r="K4" s="218" t="n">
        <v>4.5</v>
      </c>
      <c r="L4" s="219" t="n">
        <v>0.93597605893186</v>
      </c>
      <c r="M4" s="6"/>
    </row>
    <row r="5" customFormat="false" ht="15" hidden="false" customHeight="false" outlineLevel="0" collapsed="false">
      <c r="A5" s="220" t="n">
        <v>0.08</v>
      </c>
      <c r="B5" s="214" t="n">
        <v>277.194166666667</v>
      </c>
      <c r="C5" s="215" t="n">
        <v>58.425</v>
      </c>
      <c r="D5" s="215" t="n">
        <v>3.408125</v>
      </c>
      <c r="E5" s="6"/>
      <c r="F5" s="216" t="n">
        <v>0.029</v>
      </c>
      <c r="G5" s="216" t="n">
        <v>3.5</v>
      </c>
      <c r="H5" s="217" t="n">
        <v>1.04397329650092</v>
      </c>
      <c r="I5" s="6"/>
      <c r="J5" s="221" t="n">
        <v>0.039</v>
      </c>
      <c r="K5" s="221" t="n">
        <v>6.7</v>
      </c>
      <c r="L5" s="222" t="n">
        <v>1.40396408839779</v>
      </c>
      <c r="M5" s="6"/>
    </row>
    <row r="6" customFormat="false" ht="15" hidden="false" customHeight="false" outlineLevel="0" collapsed="false">
      <c r="A6" s="220" t="n">
        <v>0.0575</v>
      </c>
      <c r="B6" s="214" t="n">
        <v>204.162916666667</v>
      </c>
      <c r="C6" s="215" t="n">
        <v>48.6875</v>
      </c>
      <c r="D6" s="215" t="n">
        <v>2.337</v>
      </c>
      <c r="E6" s="6"/>
      <c r="F6" s="216" t="n">
        <v>0.037</v>
      </c>
      <c r="G6" s="216" t="n">
        <v>4.2</v>
      </c>
      <c r="H6" s="217" t="n">
        <v>1.33196593001842</v>
      </c>
      <c r="I6" s="6"/>
      <c r="J6" s="221" t="n">
        <v>0.051</v>
      </c>
      <c r="K6" s="221" t="n">
        <v>7.6</v>
      </c>
      <c r="L6" s="222" t="n">
        <v>1.83595303867403</v>
      </c>
      <c r="M6" s="6"/>
    </row>
    <row r="7" customFormat="false" ht="15" hidden="false" customHeight="false" outlineLevel="0" collapsed="false">
      <c r="A7" s="220" t="n">
        <v>0.0475</v>
      </c>
      <c r="B7" s="214" t="n">
        <v>171.704583333333</v>
      </c>
      <c r="C7" s="215" t="n">
        <v>43.81875</v>
      </c>
      <c r="D7" s="215" t="n">
        <v>2.044875</v>
      </c>
      <c r="E7" s="6"/>
      <c r="F7" s="216" t="n">
        <v>0.041</v>
      </c>
      <c r="G7" s="216" t="n">
        <v>4.45</v>
      </c>
      <c r="H7" s="217" t="n">
        <v>1.47596224677716</v>
      </c>
      <c r="I7" s="6"/>
      <c r="J7" s="221" t="n">
        <v>0.065</v>
      </c>
      <c r="K7" s="221" t="n">
        <v>9.25</v>
      </c>
      <c r="L7" s="222" t="n">
        <v>2.33994014732965</v>
      </c>
      <c r="M7" s="6"/>
    </row>
    <row r="8" customFormat="false" ht="15" hidden="false" customHeight="false" outlineLevel="0" collapsed="false">
      <c r="A8" s="220" t="n">
        <v>0.044</v>
      </c>
      <c r="B8" s="214" t="n">
        <v>160.344166666667</v>
      </c>
      <c r="C8" s="215" t="n">
        <v>38.95</v>
      </c>
      <c r="D8" s="215" t="n">
        <v>1.9475</v>
      </c>
      <c r="E8" s="6"/>
      <c r="F8" s="223" t="n">
        <v>0.063</v>
      </c>
      <c r="G8" s="223" t="n">
        <v>6</v>
      </c>
      <c r="H8" s="224" t="n">
        <v>2.26794198895028</v>
      </c>
      <c r="I8" s="6"/>
      <c r="J8" s="221" t="n">
        <v>0.079</v>
      </c>
      <c r="K8" s="221" t="n">
        <v>11</v>
      </c>
      <c r="L8" s="222" t="n">
        <v>2.84392725598527</v>
      </c>
      <c r="M8" s="6"/>
    </row>
    <row r="9" customFormat="false" ht="15" hidden="false" customHeight="false" outlineLevel="0" collapsed="false">
      <c r="A9" s="220" t="n">
        <v>0.04</v>
      </c>
      <c r="B9" s="214" t="n">
        <v>147.360833333333</v>
      </c>
      <c r="C9" s="215" t="n">
        <v>33.1075</v>
      </c>
      <c r="D9" s="215" t="n">
        <v>1.558</v>
      </c>
      <c r="E9" s="6"/>
      <c r="F9" s="6" t="s">
        <v>5898</v>
      </c>
      <c r="G9" s="6"/>
      <c r="H9" s="6"/>
      <c r="I9" s="6"/>
      <c r="J9" s="223" t="n">
        <v>0.125</v>
      </c>
      <c r="K9" s="223" t="n">
        <v>15.6</v>
      </c>
      <c r="L9" s="225" t="n">
        <v>4.49988489871087</v>
      </c>
      <c r="M9" s="6"/>
    </row>
    <row r="10" customFormat="false" ht="15" hidden="false" customHeight="false" outlineLevel="0" collapsed="false">
      <c r="A10" s="220" t="n">
        <v>0.03</v>
      </c>
      <c r="B10" s="214" t="n">
        <v>114.9025</v>
      </c>
      <c r="C10" s="215" t="n">
        <v>27.265</v>
      </c>
      <c r="D10" s="215" t="n">
        <v>1.304825</v>
      </c>
      <c r="E10" s="6"/>
      <c r="F10" s="6"/>
      <c r="G10" s="6"/>
      <c r="H10" s="6"/>
      <c r="I10" s="6"/>
      <c r="J10" s="6" t="s">
        <v>5898</v>
      </c>
      <c r="K10" s="6"/>
      <c r="L10" s="6"/>
      <c r="M10" s="6"/>
    </row>
    <row r="11" customFormat="false" ht="15" hidden="false" customHeight="false" outlineLevel="0" collapsed="false">
      <c r="A11" s="220" t="n">
        <v>0.019</v>
      </c>
      <c r="B11" s="214" t="n">
        <v>79.1983333333333</v>
      </c>
      <c r="C11" s="215" t="n">
        <v>17.5275</v>
      </c>
      <c r="D11" s="215" t="n">
        <v>0.642675</v>
      </c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" hidden="false" customHeight="false" outlineLevel="0" collapsed="false">
      <c r="A12" s="226" t="n">
        <v>0.01</v>
      </c>
      <c r="B12" s="227" t="n">
        <v>49.9858333333333</v>
      </c>
      <c r="C12" s="228" t="n">
        <v>12.8535</v>
      </c>
      <c r="D12" s="228" t="n">
        <v>0.35055</v>
      </c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6" t="s">
        <v>5899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5" customFormat="false" ht="15" hidden="false" customHeight="true" outlineLevel="0" collapsed="false"/>
  </sheetData>
  <mergeCells count="10">
    <mergeCell ref="A2:A3"/>
    <mergeCell ref="B2:B3"/>
    <mergeCell ref="C2:C3"/>
    <mergeCell ref="D2:D3"/>
    <mergeCell ref="F2:F3"/>
    <mergeCell ref="G2:G3"/>
    <mergeCell ref="H2:H3"/>
    <mergeCell ref="J2:J3"/>
    <mergeCell ref="K2:K3"/>
    <mergeCell ref="L2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:D44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47.69"/>
    <col collapsed="false" customWidth="true" hidden="false" outlineLevel="0" max="2" min="2" style="1" width="23"/>
    <col collapsed="false" customWidth="true" hidden="false" outlineLevel="0" max="4" min="3" style="1" width="18.45"/>
  </cols>
  <sheetData>
    <row r="1" customFormat="false" ht="75" hidden="false" customHeight="true" outlineLevel="0" collapsed="false">
      <c r="A1" s="229" t="s">
        <v>5900</v>
      </c>
      <c r="B1" s="230" t="s">
        <v>5901</v>
      </c>
      <c r="C1" s="230" t="s">
        <v>5902</v>
      </c>
      <c r="D1" s="230" t="s">
        <v>5903</v>
      </c>
    </row>
    <row r="2" customFormat="false" ht="15.75" hidden="false" customHeight="false" outlineLevel="0" collapsed="false">
      <c r="A2" s="231" t="s">
        <v>238</v>
      </c>
      <c r="B2" s="232" t="n">
        <v>14</v>
      </c>
      <c r="C2" s="232" t="n">
        <v>7</v>
      </c>
      <c r="D2" s="232" t="n">
        <v>7</v>
      </c>
    </row>
    <row r="3" customFormat="false" ht="15" hidden="false" customHeight="false" outlineLevel="0" collapsed="false">
      <c r="A3" s="3" t="s">
        <v>177</v>
      </c>
      <c r="B3" s="7" t="n">
        <v>18</v>
      </c>
      <c r="C3" s="7" t="n">
        <v>15</v>
      </c>
      <c r="D3" s="7" t="n">
        <v>3</v>
      </c>
    </row>
    <row r="4" customFormat="false" ht="15" hidden="false" customHeight="false" outlineLevel="0" collapsed="false">
      <c r="A4" s="3" t="s">
        <v>481</v>
      </c>
      <c r="B4" s="7" t="n">
        <v>13</v>
      </c>
      <c r="C4" s="7" t="n">
        <v>13</v>
      </c>
      <c r="D4" s="7" t="n">
        <v>0</v>
      </c>
    </row>
    <row r="5" customFormat="false" ht="15" hidden="false" customHeight="false" outlineLevel="0" collapsed="false">
      <c r="A5" s="3" t="s">
        <v>423</v>
      </c>
      <c r="B5" s="7" t="n">
        <v>18</v>
      </c>
      <c r="C5" s="7" t="n">
        <v>18</v>
      </c>
      <c r="D5" s="7" t="n">
        <v>0</v>
      </c>
    </row>
    <row r="6" customFormat="false" ht="15" hidden="false" customHeight="false" outlineLevel="0" collapsed="false">
      <c r="A6" s="3" t="s">
        <v>537</v>
      </c>
      <c r="B6" s="7" t="n">
        <v>11</v>
      </c>
      <c r="C6" s="7" t="n">
        <v>11</v>
      </c>
      <c r="D6" s="7" t="n">
        <v>0</v>
      </c>
    </row>
    <row r="7" customFormat="false" ht="15" hidden="false" customHeight="false" outlineLevel="0" collapsed="false">
      <c r="A7" s="3" t="s">
        <v>192</v>
      </c>
      <c r="B7" s="7" t="n">
        <v>16</v>
      </c>
      <c r="C7" s="7" t="n">
        <v>14</v>
      </c>
      <c r="D7" s="7" t="n">
        <v>2</v>
      </c>
    </row>
    <row r="8" customFormat="false" ht="15" hidden="false" customHeight="false" outlineLevel="0" collapsed="false">
      <c r="A8" s="3" t="s">
        <v>287</v>
      </c>
      <c r="B8" s="7" t="n">
        <v>17</v>
      </c>
      <c r="C8" s="7" t="n">
        <v>13</v>
      </c>
      <c r="D8" s="7" t="n">
        <v>4</v>
      </c>
    </row>
    <row r="9" customFormat="false" ht="15" hidden="false" customHeight="false" outlineLevel="0" collapsed="false">
      <c r="A9" s="3" t="s">
        <v>378</v>
      </c>
      <c r="B9" s="7" t="n">
        <v>3</v>
      </c>
      <c r="C9" s="7" t="n">
        <v>3</v>
      </c>
      <c r="D9" s="7" t="n">
        <v>0</v>
      </c>
    </row>
    <row r="10" customFormat="false" ht="15" hidden="false" customHeight="false" outlineLevel="0" collapsed="false">
      <c r="A10" s="3" t="s">
        <v>301</v>
      </c>
      <c r="B10" s="7" t="n">
        <v>7</v>
      </c>
      <c r="C10" s="7" t="n">
        <v>7</v>
      </c>
      <c r="D10" s="7" t="n">
        <v>0</v>
      </c>
    </row>
    <row r="11" customFormat="false" ht="15" hidden="false" customHeight="false" outlineLevel="0" collapsed="false">
      <c r="A11" s="3" t="s">
        <v>5904</v>
      </c>
      <c r="B11" s="7" t="n">
        <v>2</v>
      </c>
      <c r="C11" s="7" t="n">
        <v>2</v>
      </c>
      <c r="D11" s="7" t="n">
        <v>0</v>
      </c>
    </row>
    <row r="12" customFormat="false" ht="15" hidden="false" customHeight="false" outlineLevel="0" collapsed="false">
      <c r="A12" s="3" t="s">
        <v>1395</v>
      </c>
      <c r="B12" s="7" t="n">
        <v>5</v>
      </c>
      <c r="C12" s="7" t="n">
        <v>5</v>
      </c>
      <c r="D12" s="7" t="n">
        <v>0</v>
      </c>
    </row>
    <row r="13" customFormat="false" ht="15" hidden="false" customHeight="false" outlineLevel="0" collapsed="false">
      <c r="A13" s="3" t="s">
        <v>157</v>
      </c>
      <c r="B13" s="7" t="n">
        <v>1</v>
      </c>
      <c r="C13" s="7" t="n">
        <v>0</v>
      </c>
      <c r="D13" s="7" t="n">
        <v>1</v>
      </c>
    </row>
    <row r="14" customFormat="false" ht="15" hidden="false" customHeight="false" outlineLevel="0" collapsed="false">
      <c r="A14" s="3" t="s">
        <v>2183</v>
      </c>
      <c r="B14" s="7" t="n">
        <v>1</v>
      </c>
      <c r="C14" s="7" t="n">
        <v>1</v>
      </c>
      <c r="D14" s="7" t="n">
        <v>0</v>
      </c>
    </row>
    <row r="15" customFormat="false" ht="15" hidden="false" customHeight="false" outlineLevel="0" collapsed="false">
      <c r="A15" s="233" t="s">
        <v>5905</v>
      </c>
      <c r="B15" s="234" t="n">
        <f aca="false">SUM(B3:B14)</f>
        <v>112</v>
      </c>
      <c r="C15" s="234" t="n">
        <f aca="false">SUM(C3:C14)</f>
        <v>102</v>
      </c>
      <c r="D15" s="234" t="n">
        <f aca="false">SUM(D3:D14)</f>
        <v>10</v>
      </c>
    </row>
    <row r="16" customFormat="false" ht="15" hidden="false" customHeight="false" outlineLevel="0" collapsed="false">
      <c r="A16" s="235" t="s">
        <v>1276</v>
      </c>
      <c r="B16" s="236" t="n">
        <v>7</v>
      </c>
      <c r="C16" s="236" t="n">
        <v>3</v>
      </c>
      <c r="D16" s="236" t="n">
        <v>4</v>
      </c>
    </row>
    <row r="17" customFormat="false" ht="15" hidden="false" customHeight="false" outlineLevel="0" collapsed="false">
      <c r="A17" s="237" t="s">
        <v>230</v>
      </c>
      <c r="B17" s="238" t="n">
        <f aca="false">104+B16</f>
        <v>111</v>
      </c>
      <c r="C17" s="238" t="n">
        <f aca="false">87+C16</f>
        <v>90</v>
      </c>
      <c r="D17" s="238" t="n">
        <f aca="false">17+D16</f>
        <v>21</v>
      </c>
    </row>
    <row r="18" customFormat="false" ht="15" hidden="false" customHeight="false" outlineLevel="0" collapsed="false">
      <c r="A18" s="239" t="s">
        <v>251</v>
      </c>
      <c r="B18" s="240" t="n">
        <v>47</v>
      </c>
      <c r="C18" s="240" t="n">
        <v>29</v>
      </c>
      <c r="D18" s="240" t="n">
        <v>18</v>
      </c>
    </row>
    <row r="19" customFormat="false" ht="15" hidden="false" customHeight="false" outlineLevel="0" collapsed="false">
      <c r="A19" s="241" t="s">
        <v>1114</v>
      </c>
      <c r="B19" s="242" t="n">
        <v>10</v>
      </c>
      <c r="C19" s="242" t="n">
        <v>8</v>
      </c>
      <c r="D19" s="242" t="n">
        <v>2</v>
      </c>
    </row>
    <row r="20" customFormat="false" ht="15" hidden="false" customHeight="false" outlineLevel="0" collapsed="false">
      <c r="A20" s="239" t="s">
        <v>1315</v>
      </c>
      <c r="B20" s="240" t="n">
        <v>12</v>
      </c>
      <c r="C20" s="240" t="n">
        <v>9</v>
      </c>
      <c r="D20" s="240" t="n">
        <v>3</v>
      </c>
    </row>
    <row r="21" customFormat="false" ht="15" hidden="false" customHeight="false" outlineLevel="0" collapsed="false">
      <c r="A21" s="241" t="s">
        <v>328</v>
      </c>
      <c r="B21" s="242" t="n">
        <v>24</v>
      </c>
      <c r="C21" s="242" t="n">
        <v>19</v>
      </c>
      <c r="D21" s="242" t="n">
        <v>5</v>
      </c>
    </row>
    <row r="22" customFormat="false" ht="15" hidden="false" customHeight="false" outlineLevel="0" collapsed="false">
      <c r="A22" s="3" t="s">
        <v>213</v>
      </c>
      <c r="B22" s="7" t="n">
        <v>9</v>
      </c>
      <c r="C22" s="7" t="n">
        <v>9</v>
      </c>
      <c r="D22" s="7" t="n">
        <v>0</v>
      </c>
    </row>
    <row r="23" customFormat="false" ht="15" hidden="false" customHeight="false" outlineLevel="0" collapsed="false">
      <c r="A23" s="3" t="s">
        <v>5906</v>
      </c>
      <c r="B23" s="7" t="n">
        <v>16</v>
      </c>
      <c r="C23" s="7" t="n">
        <v>15</v>
      </c>
      <c r="D23" s="7" t="n">
        <v>1</v>
      </c>
    </row>
    <row r="24" customFormat="false" ht="15" hidden="false" customHeight="false" outlineLevel="0" collapsed="false">
      <c r="A24" s="3" t="s">
        <v>874</v>
      </c>
      <c r="B24" s="7" t="n">
        <v>5</v>
      </c>
      <c r="C24" s="7" t="n">
        <v>5</v>
      </c>
      <c r="D24" s="7" t="n">
        <v>0</v>
      </c>
    </row>
    <row r="25" customFormat="false" ht="15" hidden="false" customHeight="false" outlineLevel="0" collapsed="false">
      <c r="A25" s="3" t="s">
        <v>556</v>
      </c>
      <c r="B25" s="7" t="n">
        <v>11</v>
      </c>
      <c r="C25" s="7" t="n">
        <v>10</v>
      </c>
      <c r="D25" s="7" t="n">
        <v>1</v>
      </c>
    </row>
    <row r="26" customFormat="false" ht="15" hidden="false" customHeight="false" outlineLevel="0" collapsed="false">
      <c r="A26" s="3" t="s">
        <v>243</v>
      </c>
      <c r="B26" s="7" t="n">
        <v>2</v>
      </c>
      <c r="C26" s="7" t="n">
        <v>2</v>
      </c>
      <c r="D26" s="7" t="n">
        <v>0</v>
      </c>
    </row>
    <row r="27" customFormat="false" ht="15" hidden="false" customHeight="false" outlineLevel="0" collapsed="false">
      <c r="A27" s="3" t="s">
        <v>1508</v>
      </c>
      <c r="B27" s="7" t="n">
        <v>2</v>
      </c>
      <c r="C27" s="7" t="n">
        <v>0</v>
      </c>
      <c r="D27" s="7" t="n">
        <v>2</v>
      </c>
    </row>
    <row r="28" customFormat="false" ht="15" hidden="false" customHeight="false" outlineLevel="0" collapsed="false">
      <c r="A28" s="204" t="s">
        <v>1936</v>
      </c>
      <c r="B28" s="243" t="n">
        <v>3</v>
      </c>
      <c r="C28" s="243" t="n">
        <v>2</v>
      </c>
      <c r="D28" s="243" t="n">
        <v>1</v>
      </c>
    </row>
    <row r="29" customFormat="false" ht="15" hidden="false" customHeight="false" outlineLevel="0" collapsed="false">
      <c r="A29" s="233" t="s">
        <v>5907</v>
      </c>
      <c r="B29" s="234" t="n">
        <f aca="false">SUM(B22:B28)</f>
        <v>48</v>
      </c>
      <c r="C29" s="234" t="n">
        <f aca="false">SUM(C22:C28)</f>
        <v>43</v>
      </c>
      <c r="D29" s="234" t="n">
        <f aca="false">SUM(D22:D28)</f>
        <v>5</v>
      </c>
    </row>
    <row r="30" customFormat="false" ht="15" hidden="false" customHeight="false" outlineLevel="0" collapsed="false">
      <c r="A30" s="241" t="s">
        <v>5908</v>
      </c>
      <c r="B30" s="242" t="n">
        <v>23</v>
      </c>
      <c r="C30" s="242" t="n">
        <v>21</v>
      </c>
      <c r="D30" s="242" t="n">
        <v>2</v>
      </c>
    </row>
    <row r="31" customFormat="false" ht="15" hidden="false" customHeight="false" outlineLevel="0" collapsed="false">
      <c r="A31" s="244" t="s">
        <v>1032</v>
      </c>
      <c r="B31" s="245" t="n">
        <v>74</v>
      </c>
      <c r="C31" s="246" t="n">
        <v>72</v>
      </c>
      <c r="D31" s="246" t="n">
        <v>2</v>
      </c>
    </row>
    <row r="32" customFormat="false" ht="15" hidden="false" customHeight="false" outlineLevel="0" collapsed="false">
      <c r="A32" s="241" t="s">
        <v>544</v>
      </c>
      <c r="B32" s="242" t="n">
        <v>14</v>
      </c>
      <c r="C32" s="238" t="n">
        <v>13</v>
      </c>
      <c r="D32" s="242" t="n">
        <v>1</v>
      </c>
    </row>
    <row r="33" customFormat="false" ht="15" hidden="false" customHeight="false" outlineLevel="0" collapsed="false">
      <c r="A33" s="3" t="s">
        <v>143</v>
      </c>
      <c r="B33" s="7" t="n">
        <v>23</v>
      </c>
      <c r="C33" s="7" t="n">
        <v>12</v>
      </c>
      <c r="D33" s="7" t="n">
        <v>11</v>
      </c>
    </row>
    <row r="34" customFormat="false" ht="15" hidden="false" customHeight="false" outlineLevel="0" collapsed="false">
      <c r="A34" s="3" t="s">
        <v>2450</v>
      </c>
      <c r="B34" s="7" t="n">
        <v>2</v>
      </c>
      <c r="C34" s="7" t="n">
        <v>0</v>
      </c>
      <c r="D34" s="7" t="n">
        <v>2</v>
      </c>
    </row>
    <row r="35" customFormat="false" ht="15" hidden="false" customHeight="false" outlineLevel="0" collapsed="false">
      <c r="A35" s="3" t="s">
        <v>551</v>
      </c>
      <c r="B35" s="7" t="n">
        <v>29</v>
      </c>
      <c r="C35" s="7" t="n">
        <v>0</v>
      </c>
      <c r="D35" s="7" t="n">
        <v>29</v>
      </c>
    </row>
    <row r="36" customFormat="false" ht="15" hidden="false" customHeight="false" outlineLevel="0" collapsed="false">
      <c r="A36" s="3" t="s">
        <v>139</v>
      </c>
      <c r="B36" s="7" t="n">
        <v>25</v>
      </c>
      <c r="C36" s="7" t="n">
        <v>0</v>
      </c>
      <c r="D36" s="7" t="n">
        <v>25</v>
      </c>
    </row>
    <row r="37" customFormat="false" ht="15" hidden="false" customHeight="false" outlineLevel="0" collapsed="false">
      <c r="A37" s="233" t="s">
        <v>5909</v>
      </c>
      <c r="B37" s="234" t="n">
        <f aca="false">SUM(B33:B36)</f>
        <v>79</v>
      </c>
      <c r="C37" s="234" t="n">
        <f aca="false">SUM(C33:C36)</f>
        <v>12</v>
      </c>
      <c r="D37" s="234" t="n">
        <f aca="false">SUM(D33:D36)</f>
        <v>67</v>
      </c>
    </row>
    <row r="38" customFormat="false" ht="15" hidden="false" customHeight="false" outlineLevel="0" collapsed="false">
      <c r="A38" s="241" t="s">
        <v>308</v>
      </c>
      <c r="B38" s="242" t="n">
        <v>23</v>
      </c>
      <c r="C38" s="242" t="n">
        <v>23</v>
      </c>
      <c r="D38" s="242" t="n">
        <v>0</v>
      </c>
    </row>
    <row r="39" customFormat="false" ht="15" hidden="false" customHeight="false" outlineLevel="0" collapsed="false">
      <c r="A39" s="3" t="s">
        <v>386</v>
      </c>
      <c r="B39" s="7" t="n">
        <v>8</v>
      </c>
      <c r="C39" s="7" t="n">
        <v>5</v>
      </c>
      <c r="D39" s="7" t="n">
        <v>3</v>
      </c>
    </row>
    <row r="40" customFormat="false" ht="15" hidden="false" customHeight="false" outlineLevel="0" collapsed="false">
      <c r="A40" s="3" t="s">
        <v>1747</v>
      </c>
      <c r="B40" s="7" t="n">
        <v>3</v>
      </c>
      <c r="C40" s="7" t="n">
        <v>3</v>
      </c>
      <c r="D40" s="7" t="n">
        <v>0</v>
      </c>
    </row>
    <row r="41" customFormat="false" ht="15" hidden="false" customHeight="false" outlineLevel="0" collapsed="false">
      <c r="A41" s="3" t="s">
        <v>391</v>
      </c>
      <c r="B41" s="7" t="n">
        <v>11</v>
      </c>
      <c r="C41" s="7" t="n">
        <v>5</v>
      </c>
      <c r="D41" s="7" t="n">
        <v>6</v>
      </c>
    </row>
    <row r="42" customFormat="false" ht="15" hidden="false" customHeight="false" outlineLevel="0" collapsed="false">
      <c r="A42" s="3" t="s">
        <v>532</v>
      </c>
      <c r="B42" s="7" t="n">
        <v>2</v>
      </c>
      <c r="C42" s="7" t="n">
        <v>0</v>
      </c>
      <c r="D42" s="243" t="n">
        <v>2</v>
      </c>
    </row>
    <row r="43" customFormat="false" ht="15" hidden="false" customHeight="false" outlineLevel="0" collapsed="false">
      <c r="A43" s="233" t="s">
        <v>5910</v>
      </c>
      <c r="B43" s="234" t="n">
        <f aca="false">SUM(B39:B42)</f>
        <v>24</v>
      </c>
      <c r="C43" s="234" t="n">
        <f aca="false">SUM(C39:C42)</f>
        <v>13</v>
      </c>
      <c r="D43" s="234" t="n">
        <f aca="false">SUM(D39:D42)</f>
        <v>11</v>
      </c>
    </row>
    <row r="44" customFormat="false" ht="15" hidden="false" customHeight="false" outlineLevel="0" collapsed="false">
      <c r="A44" s="233" t="s">
        <v>5911</v>
      </c>
      <c r="B44" s="234" t="n">
        <f aca="false">B2+B15+B17+B18+B19+B20+B21+B29+B30+B31+B32+B37+B38+B43</f>
        <v>615</v>
      </c>
      <c r="C44" s="234" t="n">
        <f aca="false">C2+C15+C17+C18+C19+C20+C21+C29+C30+C31+C32+C37+C38+C43</f>
        <v>461</v>
      </c>
      <c r="D44" s="234" t="n">
        <f aca="false">D2+D15+D17+D18+D19+D20+D21+D29+D30+D31+D32+D37+D38+D43</f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K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7" width="11.56"/>
    <col collapsed="false" customWidth="true" hidden="false" outlineLevel="0" max="2" min="2" style="7" width="12.34"/>
    <col collapsed="false" customWidth="true" hidden="false" outlineLevel="0" max="3" min="3" style="7" width="10.65"/>
    <col collapsed="false" customWidth="true" hidden="false" outlineLevel="0" max="5" min="4" style="7" width="15.72"/>
  </cols>
  <sheetData>
    <row r="1" customFormat="false" ht="15" hidden="false" customHeight="false" outlineLevel="0" collapsed="false">
      <c r="A1" s="245" t="s">
        <v>5912</v>
      </c>
      <c r="B1" s="245"/>
      <c r="C1" s="245"/>
      <c r="D1" s="245" t="s">
        <v>1111</v>
      </c>
      <c r="E1" s="245" t="s">
        <v>5913</v>
      </c>
    </row>
    <row r="2" customFormat="false" ht="15" hidden="false" customHeight="false" outlineLevel="0" collapsed="false">
      <c r="A2" s="247" t="s">
        <v>5914</v>
      </c>
      <c r="D2" s="248" t="n">
        <v>0.206425229676295</v>
      </c>
      <c r="E2" s="248" t="n">
        <v>0.0114476744952299</v>
      </c>
    </row>
    <row r="3" customFormat="false" ht="15" hidden="false" customHeight="false" outlineLevel="0" collapsed="false">
      <c r="A3" s="247" t="s">
        <v>5915</v>
      </c>
      <c r="D3" s="248" t="n">
        <v>0.206425229676324</v>
      </c>
      <c r="E3" s="248" t="n">
        <v>0.0114476744952299</v>
      </c>
    </row>
    <row r="4" customFormat="false" ht="15" hidden="false" customHeight="false" outlineLevel="0" collapsed="false">
      <c r="A4" s="247" t="s">
        <v>5916</v>
      </c>
      <c r="B4" s="247" t="s">
        <v>5914</v>
      </c>
      <c r="D4" s="248" t="n">
        <v>0.223073790680199</v>
      </c>
      <c r="E4" s="248" t="n">
        <v>0.0074568877295178</v>
      </c>
    </row>
    <row r="5" customFormat="false" ht="15" hidden="false" customHeight="false" outlineLevel="0" collapsed="false">
      <c r="A5" s="247" t="s">
        <v>5916</v>
      </c>
      <c r="B5" s="247" t="s">
        <v>5915</v>
      </c>
      <c r="D5" s="248" t="n">
        <v>0.223073790680199</v>
      </c>
      <c r="E5" s="248" t="n">
        <v>0.0074568877295178</v>
      </c>
    </row>
    <row r="6" customFormat="false" ht="15" hidden="false" customHeight="false" outlineLevel="0" collapsed="false">
      <c r="A6" s="247" t="s">
        <v>5917</v>
      </c>
      <c r="B6" s="247" t="s">
        <v>5914</v>
      </c>
      <c r="D6" s="248" t="n">
        <v>0.223073182259216</v>
      </c>
      <c r="E6" s="248" t="n">
        <v>0.00745703357324601</v>
      </c>
    </row>
    <row r="7" customFormat="false" ht="15" hidden="false" customHeight="false" outlineLevel="0" collapsed="false">
      <c r="A7" s="247" t="s">
        <v>5917</v>
      </c>
      <c r="B7" s="247" t="s">
        <v>5915</v>
      </c>
      <c r="D7" s="248" t="n">
        <v>0.223073182259216</v>
      </c>
      <c r="E7" s="248" t="n">
        <v>0.00745703357324601</v>
      </c>
    </row>
    <row r="8" customFormat="false" ht="15" hidden="false" customHeight="false" outlineLevel="0" collapsed="false">
      <c r="A8" s="247" t="s">
        <v>5918</v>
      </c>
      <c r="B8" s="247" t="s">
        <v>5914</v>
      </c>
      <c r="D8" s="248" t="n">
        <v>0.223050958511574</v>
      </c>
      <c r="E8" s="248" t="n">
        <v>0.0074623607738431</v>
      </c>
    </row>
    <row r="9" customFormat="false" ht="15" hidden="false" customHeight="false" outlineLevel="0" collapsed="false">
      <c r="A9" s="247" t="s">
        <v>5918</v>
      </c>
      <c r="B9" s="247" t="s">
        <v>5915</v>
      </c>
      <c r="D9" s="248" t="n">
        <v>0.22305095851838</v>
      </c>
      <c r="E9" s="248" t="n">
        <v>0.00746236077407048</v>
      </c>
    </row>
    <row r="10" customFormat="false" ht="15" hidden="false" customHeight="false" outlineLevel="0" collapsed="false">
      <c r="A10" s="247" t="s">
        <v>5914</v>
      </c>
      <c r="B10" s="247" t="s">
        <v>5916</v>
      </c>
      <c r="D10" s="248" t="n">
        <v>0.223073790680199</v>
      </c>
      <c r="E10" s="248" t="n">
        <v>0.0074568877295178</v>
      </c>
    </row>
    <row r="11" customFormat="false" ht="15" hidden="false" customHeight="false" outlineLevel="0" collapsed="false">
      <c r="A11" s="247" t="s">
        <v>5914</v>
      </c>
      <c r="B11" s="247" t="s">
        <v>5917</v>
      </c>
      <c r="D11" s="248" t="n">
        <v>0.223073182259216</v>
      </c>
      <c r="E11" s="248" t="n">
        <v>0.00745703357324601</v>
      </c>
    </row>
    <row r="12" customFormat="false" ht="15" hidden="false" customHeight="false" outlineLevel="0" collapsed="false">
      <c r="A12" s="247" t="s">
        <v>5914</v>
      </c>
      <c r="B12" s="247" t="s">
        <v>5918</v>
      </c>
      <c r="D12" s="248" t="n">
        <v>0.223050958511574</v>
      </c>
      <c r="E12" s="248" t="n">
        <v>0.0074623607738431</v>
      </c>
    </row>
    <row r="13" customFormat="false" ht="15" hidden="false" customHeight="false" outlineLevel="0" collapsed="false">
      <c r="A13" s="247" t="s">
        <v>5915</v>
      </c>
      <c r="B13" s="247" t="s">
        <v>5916</v>
      </c>
      <c r="D13" s="248" t="n">
        <v>0.223073790680199</v>
      </c>
      <c r="E13" s="248" t="n">
        <v>0.0074568877295178</v>
      </c>
    </row>
    <row r="14" customFormat="false" ht="15" hidden="false" customHeight="false" outlineLevel="0" collapsed="false">
      <c r="A14" s="247" t="s">
        <v>5915</v>
      </c>
      <c r="B14" s="247" t="s">
        <v>5917</v>
      </c>
      <c r="D14" s="248" t="n">
        <v>0.223073182259216</v>
      </c>
      <c r="E14" s="248" t="n">
        <v>0.00745703357324601</v>
      </c>
    </row>
    <row r="15" customFormat="false" ht="15" hidden="false" customHeight="false" outlineLevel="0" collapsed="false">
      <c r="A15" s="247" t="s">
        <v>5915</v>
      </c>
      <c r="B15" s="247" t="s">
        <v>5918</v>
      </c>
      <c r="D15" s="248" t="n">
        <v>0.22305095851838</v>
      </c>
      <c r="E15" s="248" t="n">
        <v>0.00746236077407048</v>
      </c>
    </row>
    <row r="16" customFormat="false" ht="15" hidden="false" customHeight="false" outlineLevel="0" collapsed="false">
      <c r="A16" s="249" t="s">
        <v>5919</v>
      </c>
      <c r="B16" s="247" t="s">
        <v>5920</v>
      </c>
      <c r="C16" s="247" t="s">
        <v>5914</v>
      </c>
      <c r="D16" s="248" t="n">
        <v>0.223073790680203</v>
      </c>
      <c r="E16" s="248" t="n">
        <v>0.0074568877295178</v>
      </c>
    </row>
    <row r="17" customFormat="false" ht="15" hidden="false" customHeight="false" outlineLevel="0" collapsed="false">
      <c r="A17" s="247" t="s">
        <v>5919</v>
      </c>
      <c r="B17" s="247" t="s">
        <v>5920</v>
      </c>
      <c r="C17" s="247" t="s">
        <v>5915</v>
      </c>
      <c r="D17" s="248" t="n">
        <v>0.223073790680199</v>
      </c>
      <c r="E17" s="248" t="n">
        <v>0.0074568877295178</v>
      </c>
    </row>
    <row r="18" customFormat="false" ht="15" hidden="false" customHeight="false" outlineLevel="0" collapsed="false">
      <c r="A18" s="247" t="s">
        <v>5919</v>
      </c>
      <c r="B18" s="247" t="s">
        <v>5914</v>
      </c>
      <c r="C18" s="247" t="s">
        <v>5920</v>
      </c>
      <c r="D18" s="248" t="n">
        <v>0.223073790680203</v>
      </c>
      <c r="E18" s="248" t="n">
        <v>0.0074568877295178</v>
      </c>
    </row>
    <row r="19" customFormat="false" ht="15" hidden="false" customHeight="false" outlineLevel="0" collapsed="false">
      <c r="A19" s="247" t="s">
        <v>5919</v>
      </c>
      <c r="B19" s="247" t="s">
        <v>5914</v>
      </c>
      <c r="C19" s="247" t="s">
        <v>5921</v>
      </c>
      <c r="D19" s="248" t="n">
        <v>0.235627804592825</v>
      </c>
      <c r="E19" s="248" t="n">
        <v>0.00444759506353876</v>
      </c>
    </row>
    <row r="20" customFormat="false" ht="15" hidden="false" customHeight="false" outlineLevel="0" collapsed="false">
      <c r="A20" s="247" t="s">
        <v>5919</v>
      </c>
      <c r="B20" s="247" t="s">
        <v>5914</v>
      </c>
      <c r="C20" s="247" t="s">
        <v>5922</v>
      </c>
      <c r="D20" s="248" t="n">
        <v>0.223073790680203</v>
      </c>
      <c r="E20" s="248" t="n">
        <v>0.0074568877295178</v>
      </c>
    </row>
    <row r="21" customFormat="false" ht="15" hidden="false" customHeight="false" outlineLevel="0" collapsed="false">
      <c r="A21" s="247" t="s">
        <v>5919</v>
      </c>
      <c r="B21" s="247" t="s">
        <v>5914</v>
      </c>
      <c r="C21" s="247" t="s">
        <v>5923</v>
      </c>
      <c r="D21" s="248" t="n">
        <v>0.223073790680203</v>
      </c>
      <c r="E21" s="248" t="n">
        <v>0.0074568877295178</v>
      </c>
    </row>
    <row r="22" customFormat="false" ht="15" hidden="false" customHeight="false" outlineLevel="0" collapsed="false">
      <c r="A22" s="247" t="s">
        <v>5919</v>
      </c>
      <c r="B22" s="247" t="s">
        <v>5921</v>
      </c>
      <c r="C22" s="247" t="s">
        <v>5914</v>
      </c>
      <c r="D22" s="248" t="n">
        <v>0.235627804592825</v>
      </c>
      <c r="E22" s="248" t="n">
        <v>0.00444759506353876</v>
      </c>
    </row>
    <row r="23" customFormat="false" ht="15" hidden="false" customHeight="false" outlineLevel="0" collapsed="false">
      <c r="A23" s="247" t="s">
        <v>5919</v>
      </c>
      <c r="B23" s="247" t="s">
        <v>5921</v>
      </c>
      <c r="C23" s="247" t="s">
        <v>5915</v>
      </c>
      <c r="D23" s="248" t="n">
        <v>0.23562780458048</v>
      </c>
      <c r="E23" s="248" t="n">
        <v>0.00444759506331138</v>
      </c>
    </row>
    <row r="24" customFormat="false" ht="15" hidden="false" customHeight="false" outlineLevel="0" collapsed="false">
      <c r="A24" s="247" t="s">
        <v>5919</v>
      </c>
      <c r="B24" s="247" t="s">
        <v>5922</v>
      </c>
      <c r="C24" s="247" t="s">
        <v>5914</v>
      </c>
      <c r="D24" s="248" t="n">
        <v>0.223073790680203</v>
      </c>
      <c r="E24" s="248" t="n">
        <v>0.0074568877295178</v>
      </c>
    </row>
    <row r="25" customFormat="false" ht="15" hidden="false" customHeight="false" outlineLevel="0" collapsed="false">
      <c r="A25" s="247" t="s">
        <v>5919</v>
      </c>
      <c r="B25" s="247" t="s">
        <v>5922</v>
      </c>
      <c r="C25" s="247" t="s">
        <v>5915</v>
      </c>
      <c r="D25" s="248" t="n">
        <v>0.223073790680199</v>
      </c>
      <c r="E25" s="248" t="n">
        <v>0.0074568877295178</v>
      </c>
    </row>
    <row r="26" customFormat="false" ht="15" hidden="false" customHeight="false" outlineLevel="0" collapsed="false">
      <c r="A26" s="247" t="s">
        <v>5919</v>
      </c>
      <c r="B26" s="247" t="s">
        <v>5915</v>
      </c>
      <c r="C26" s="247" t="s">
        <v>5920</v>
      </c>
      <c r="D26" s="248" t="n">
        <v>0.223073790680199</v>
      </c>
      <c r="E26" s="248" t="n">
        <v>0.0074568877295178</v>
      </c>
    </row>
    <row r="27" customFormat="false" ht="15" hidden="false" customHeight="false" outlineLevel="0" collapsed="false">
      <c r="A27" s="247" t="s">
        <v>5919</v>
      </c>
      <c r="B27" s="247" t="s">
        <v>5915</v>
      </c>
      <c r="C27" s="247" t="s">
        <v>5921</v>
      </c>
      <c r="D27" s="248" t="n">
        <v>0.23562780458048</v>
      </c>
      <c r="E27" s="248" t="n">
        <v>0.00444759506331138</v>
      </c>
    </row>
    <row r="28" customFormat="false" ht="15" hidden="false" customHeight="false" outlineLevel="0" collapsed="false">
      <c r="A28" s="247" t="s">
        <v>5919</v>
      </c>
      <c r="B28" s="247" t="s">
        <v>5915</v>
      </c>
      <c r="C28" s="247" t="s">
        <v>5922</v>
      </c>
      <c r="D28" s="248" t="n">
        <v>0.223073790680199</v>
      </c>
      <c r="E28" s="248" t="n">
        <v>0.0074568877295178</v>
      </c>
    </row>
    <row r="29" customFormat="false" ht="15" hidden="false" customHeight="false" outlineLevel="0" collapsed="false">
      <c r="A29" s="247" t="s">
        <v>5919</v>
      </c>
      <c r="B29" s="247" t="s">
        <v>5915</v>
      </c>
      <c r="C29" s="247" t="s">
        <v>5923</v>
      </c>
      <c r="D29" s="248" t="n">
        <v>0.223073790680203</v>
      </c>
      <c r="E29" s="248" t="n">
        <v>0.0074568877295178</v>
      </c>
    </row>
    <row r="30" customFormat="false" ht="15" hidden="false" customHeight="false" outlineLevel="0" collapsed="false">
      <c r="A30" s="247" t="s">
        <v>5919</v>
      </c>
      <c r="B30" s="247" t="s">
        <v>5923</v>
      </c>
      <c r="C30" s="247" t="s">
        <v>5914</v>
      </c>
      <c r="D30" s="248" t="n">
        <v>0.223073790680203</v>
      </c>
      <c r="E30" s="248" t="n">
        <v>0.0074568877295178</v>
      </c>
    </row>
    <row r="31" customFormat="false" ht="15" hidden="false" customHeight="false" outlineLevel="0" collapsed="false">
      <c r="A31" s="247" t="s">
        <v>5919</v>
      </c>
      <c r="B31" s="247" t="s">
        <v>5923</v>
      </c>
      <c r="C31" s="247" t="s">
        <v>5915</v>
      </c>
      <c r="D31" s="248" t="n">
        <v>0.223073790680203</v>
      </c>
      <c r="E31" s="248" t="n">
        <v>0.0074568877295178</v>
      </c>
    </row>
    <row r="32" customFormat="false" ht="15" hidden="false" customHeight="false" outlineLevel="0" collapsed="false">
      <c r="A32" s="247" t="s">
        <v>5917</v>
      </c>
      <c r="B32" s="247" t="s">
        <v>5924</v>
      </c>
      <c r="C32" s="247" t="s">
        <v>5914</v>
      </c>
      <c r="D32" s="248" t="n">
        <v>0.22309598185183</v>
      </c>
      <c r="E32" s="248" t="n">
        <v>0.00745156833738747</v>
      </c>
    </row>
    <row r="33" customFormat="false" ht="15" hidden="false" customHeight="false" outlineLevel="0" collapsed="false">
      <c r="A33" s="247" t="s">
        <v>5917</v>
      </c>
      <c r="B33" s="247" t="s">
        <v>5924</v>
      </c>
      <c r="C33" s="247" t="s">
        <v>5915</v>
      </c>
      <c r="D33" s="248" t="n">
        <v>0.223095981851826</v>
      </c>
      <c r="E33" s="248" t="n">
        <v>0.00745156833738747</v>
      </c>
    </row>
    <row r="34" customFormat="false" ht="15" hidden="false" customHeight="false" outlineLevel="0" collapsed="false">
      <c r="A34" s="247" t="s">
        <v>5917</v>
      </c>
      <c r="B34" s="247" t="s">
        <v>5914</v>
      </c>
      <c r="C34" s="247" t="s">
        <v>5924</v>
      </c>
      <c r="D34" s="248" t="n">
        <v>0.22309598185183</v>
      </c>
      <c r="E34" s="248" t="n">
        <v>0.00745156833738747</v>
      </c>
    </row>
    <row r="35" customFormat="false" ht="15" hidden="false" customHeight="false" outlineLevel="0" collapsed="false">
      <c r="A35" s="247" t="s">
        <v>5917</v>
      </c>
      <c r="B35" s="247" t="s">
        <v>5914</v>
      </c>
      <c r="C35" s="247" t="s">
        <v>5925</v>
      </c>
      <c r="D35" s="248" t="n">
        <v>0.224279140138838</v>
      </c>
      <c r="E35" s="248" t="n">
        <v>0.00716795629170974</v>
      </c>
    </row>
    <row r="36" customFormat="false" ht="15" hidden="false" customHeight="false" outlineLevel="0" collapsed="false">
      <c r="A36" s="247" t="s">
        <v>5917</v>
      </c>
      <c r="B36" s="247" t="s">
        <v>5915</v>
      </c>
      <c r="C36" s="247" t="s">
        <v>5924</v>
      </c>
      <c r="D36" s="248" t="n">
        <v>0.223095981851826</v>
      </c>
      <c r="E36" s="248" t="n">
        <v>0.00745156833738747</v>
      </c>
    </row>
    <row r="37" customFormat="false" ht="15" hidden="false" customHeight="false" outlineLevel="0" collapsed="false">
      <c r="A37" s="247" t="s">
        <v>5917</v>
      </c>
      <c r="B37" s="247" t="s">
        <v>5915</v>
      </c>
      <c r="C37" s="247" t="s">
        <v>5925</v>
      </c>
      <c r="D37" s="248" t="n">
        <v>0.224279140138847</v>
      </c>
      <c r="E37" s="248" t="n">
        <v>0.00716795629170974</v>
      </c>
    </row>
    <row r="38" customFormat="false" ht="15" hidden="false" customHeight="false" outlineLevel="0" collapsed="false">
      <c r="A38" s="247" t="s">
        <v>5917</v>
      </c>
      <c r="B38" s="247" t="s">
        <v>5925</v>
      </c>
      <c r="C38" s="247" t="s">
        <v>5914</v>
      </c>
      <c r="D38" s="248" t="n">
        <v>0.224279140138838</v>
      </c>
      <c r="E38" s="248" t="n">
        <v>0.00716795629170974</v>
      </c>
    </row>
    <row r="39" customFormat="false" ht="15" hidden="false" customHeight="false" outlineLevel="0" collapsed="false">
      <c r="A39" s="247" t="s">
        <v>5917</v>
      </c>
      <c r="B39" s="247" t="s">
        <v>5925</v>
      </c>
      <c r="C39" s="247" t="s">
        <v>5915</v>
      </c>
      <c r="D39" s="248" t="n">
        <v>0.224279140138847</v>
      </c>
      <c r="E39" s="248" t="n">
        <v>0.00716795629170974</v>
      </c>
    </row>
    <row r="40" customFormat="false" ht="15" hidden="false" customHeight="false" outlineLevel="0" collapsed="false">
      <c r="A40" s="247" t="s">
        <v>5924</v>
      </c>
      <c r="B40" s="247" t="s">
        <v>5917</v>
      </c>
      <c r="C40" s="247" t="s">
        <v>5914</v>
      </c>
      <c r="D40" s="248" t="n">
        <v>0.22309598185183</v>
      </c>
      <c r="E40" s="248" t="n">
        <v>0.00745156833738747</v>
      </c>
    </row>
    <row r="41" customFormat="false" ht="15" hidden="false" customHeight="false" outlineLevel="0" collapsed="false">
      <c r="A41" s="247" t="s">
        <v>5924</v>
      </c>
      <c r="B41" s="247" t="s">
        <v>5917</v>
      </c>
      <c r="C41" s="247" t="s">
        <v>5915</v>
      </c>
      <c r="D41" s="248" t="n">
        <v>0.223095981851826</v>
      </c>
      <c r="E41" s="248" t="n">
        <v>0.00745156833738747</v>
      </c>
    </row>
    <row r="42" customFormat="false" ht="15" hidden="false" customHeight="false" outlineLevel="0" collapsed="false">
      <c r="A42" s="247" t="s">
        <v>5924</v>
      </c>
      <c r="B42" s="247" t="s">
        <v>5918</v>
      </c>
      <c r="C42" s="247" t="s">
        <v>5914</v>
      </c>
      <c r="D42" s="248" t="n">
        <v>0.223073790680203</v>
      </c>
      <c r="E42" s="248" t="n">
        <v>0.0074568877295178</v>
      </c>
    </row>
    <row r="43" customFormat="false" ht="15" hidden="false" customHeight="false" outlineLevel="0" collapsed="false">
      <c r="A43" s="247" t="s">
        <v>5924</v>
      </c>
      <c r="B43" s="247" t="s">
        <v>5918</v>
      </c>
      <c r="C43" s="247" t="s">
        <v>5915</v>
      </c>
      <c r="D43" s="248" t="n">
        <v>0.223073790680199</v>
      </c>
      <c r="E43" s="248" t="n">
        <v>0.0074568877295178</v>
      </c>
    </row>
    <row r="44" customFormat="false" ht="15" hidden="false" customHeight="false" outlineLevel="0" collapsed="false">
      <c r="A44" s="247" t="s">
        <v>5924</v>
      </c>
      <c r="B44" s="247" t="s">
        <v>5914</v>
      </c>
      <c r="C44" s="247" t="s">
        <v>5917</v>
      </c>
      <c r="D44" s="248" t="n">
        <v>0.22309598185183</v>
      </c>
      <c r="E44" s="248" t="n">
        <v>0.00745156833738747</v>
      </c>
    </row>
    <row r="45" customFormat="false" ht="15" hidden="false" customHeight="false" outlineLevel="0" collapsed="false">
      <c r="A45" s="247" t="s">
        <v>5924</v>
      </c>
      <c r="B45" s="247" t="s">
        <v>5914</v>
      </c>
      <c r="C45" s="247" t="s">
        <v>5918</v>
      </c>
      <c r="D45" s="248" t="n">
        <v>0.223073790680203</v>
      </c>
      <c r="E45" s="248" t="n">
        <v>0.0074568877295178</v>
      </c>
    </row>
    <row r="46" customFormat="false" ht="15" hidden="false" customHeight="false" outlineLevel="0" collapsed="false">
      <c r="A46" s="247" t="s">
        <v>5924</v>
      </c>
      <c r="B46" s="247" t="s">
        <v>5915</v>
      </c>
      <c r="C46" s="247" t="s">
        <v>5917</v>
      </c>
      <c r="D46" s="248" t="n">
        <v>0.223095981851826</v>
      </c>
      <c r="E46" s="248" t="n">
        <v>0.00745156833738747</v>
      </c>
    </row>
    <row r="47" customFormat="false" ht="15" hidden="false" customHeight="false" outlineLevel="0" collapsed="false">
      <c r="A47" s="247" t="s">
        <v>5924</v>
      </c>
      <c r="B47" s="247" t="s">
        <v>5915</v>
      </c>
      <c r="C47" s="247" t="s">
        <v>5918</v>
      </c>
      <c r="D47" s="248" t="n">
        <v>0.223073790680199</v>
      </c>
      <c r="E47" s="248" t="n">
        <v>0.0074568877295178</v>
      </c>
    </row>
    <row r="48" customFormat="false" ht="15" hidden="false" customHeight="false" outlineLevel="0" collapsed="false">
      <c r="A48" s="247" t="s">
        <v>5918</v>
      </c>
      <c r="B48" s="247" t="s">
        <v>5924</v>
      </c>
      <c r="C48" s="247" t="s">
        <v>5914</v>
      </c>
      <c r="D48" s="248" t="n">
        <v>0.223073790680203</v>
      </c>
      <c r="E48" s="248" t="n">
        <v>0.0074568877295178</v>
      </c>
    </row>
    <row r="49" customFormat="false" ht="15" hidden="false" customHeight="false" outlineLevel="0" collapsed="false">
      <c r="A49" s="247" t="s">
        <v>5918</v>
      </c>
      <c r="B49" s="247" t="s">
        <v>5924</v>
      </c>
      <c r="C49" s="247" t="s">
        <v>5915</v>
      </c>
      <c r="D49" s="248" t="n">
        <v>0.223073790680199</v>
      </c>
      <c r="E49" s="248" t="n">
        <v>0.0074568877295178</v>
      </c>
    </row>
    <row r="50" customFormat="false" ht="15" hidden="false" customHeight="false" outlineLevel="0" collapsed="false">
      <c r="A50" s="247" t="s">
        <v>5918</v>
      </c>
      <c r="B50" s="247" t="s">
        <v>5914</v>
      </c>
      <c r="C50" s="247" t="s">
        <v>5924</v>
      </c>
      <c r="D50" s="248" t="n">
        <v>0.223073790680203</v>
      </c>
      <c r="E50" s="248" t="n">
        <v>0.0074568877295178</v>
      </c>
    </row>
    <row r="51" customFormat="false" ht="15" hidden="false" customHeight="false" outlineLevel="0" collapsed="false">
      <c r="A51" s="247" t="s">
        <v>5918</v>
      </c>
      <c r="B51" s="247" t="s">
        <v>5914</v>
      </c>
      <c r="C51" s="247" t="s">
        <v>5925</v>
      </c>
      <c r="D51" s="248" t="n">
        <v>0.224258606604811</v>
      </c>
      <c r="E51" s="248" t="n">
        <v>0.00717287833617775</v>
      </c>
    </row>
    <row r="52" customFormat="false" ht="15" hidden="false" customHeight="false" outlineLevel="0" collapsed="false">
      <c r="A52" s="247" t="s">
        <v>5918</v>
      </c>
      <c r="B52" s="247" t="s">
        <v>5915</v>
      </c>
      <c r="C52" s="247" t="s">
        <v>5924</v>
      </c>
      <c r="D52" s="248" t="n">
        <v>0.223073790680199</v>
      </c>
      <c r="E52" s="248" t="n">
        <v>0.0074568877295178</v>
      </c>
    </row>
    <row r="53" customFormat="false" ht="15" hidden="false" customHeight="false" outlineLevel="0" collapsed="false">
      <c r="A53" s="247" t="s">
        <v>5918</v>
      </c>
      <c r="B53" s="247" t="s">
        <v>5915</v>
      </c>
      <c r="C53" s="247" t="s">
        <v>5925</v>
      </c>
      <c r="D53" s="248" t="n">
        <v>0.224258606604811</v>
      </c>
      <c r="E53" s="248" t="n">
        <v>0.00717287833617775</v>
      </c>
    </row>
    <row r="54" customFormat="false" ht="15" hidden="false" customHeight="false" outlineLevel="0" collapsed="false">
      <c r="A54" s="247" t="s">
        <v>5918</v>
      </c>
      <c r="B54" s="247" t="s">
        <v>5925</v>
      </c>
      <c r="C54" s="247" t="s">
        <v>5914</v>
      </c>
      <c r="D54" s="248" t="n">
        <v>0.224258606604811</v>
      </c>
      <c r="E54" s="248" t="n">
        <v>0.00717287833617775</v>
      </c>
    </row>
    <row r="55" customFormat="false" ht="15" hidden="false" customHeight="false" outlineLevel="0" collapsed="false">
      <c r="A55" s="247" t="s">
        <v>5918</v>
      </c>
      <c r="B55" s="247" t="s">
        <v>5925</v>
      </c>
      <c r="C55" s="247" t="s">
        <v>5915</v>
      </c>
      <c r="D55" s="248" t="n">
        <v>0.224258606604811</v>
      </c>
      <c r="E55" s="248" t="n">
        <v>0.00717287833617775</v>
      </c>
    </row>
    <row r="56" customFormat="false" ht="15" hidden="false" customHeight="false" outlineLevel="0" collapsed="false">
      <c r="A56" s="247" t="s">
        <v>5920</v>
      </c>
      <c r="B56" s="247" t="s">
        <v>5919</v>
      </c>
      <c r="C56" s="247" t="s">
        <v>5914</v>
      </c>
      <c r="D56" s="248" t="n">
        <v>0.223073790680203</v>
      </c>
      <c r="E56" s="248" t="n">
        <v>0.0074568877295178</v>
      </c>
    </row>
    <row r="57" customFormat="false" ht="15" hidden="false" customHeight="false" outlineLevel="0" collapsed="false">
      <c r="A57" s="247" t="s">
        <v>5920</v>
      </c>
      <c r="B57" s="247" t="s">
        <v>5919</v>
      </c>
      <c r="C57" s="247" t="s">
        <v>5915</v>
      </c>
      <c r="D57" s="248" t="n">
        <v>0.223073790680199</v>
      </c>
      <c r="E57" s="248" t="n">
        <v>0.0074568877295178</v>
      </c>
    </row>
    <row r="58" customFormat="false" ht="15" hidden="false" customHeight="false" outlineLevel="0" collapsed="false">
      <c r="A58" s="247" t="s">
        <v>5920</v>
      </c>
      <c r="B58" s="247" t="s">
        <v>5914</v>
      </c>
      <c r="C58" s="247" t="s">
        <v>5919</v>
      </c>
      <c r="D58" s="248" t="n">
        <v>0.223073790680203</v>
      </c>
      <c r="E58" s="248" t="n">
        <v>0.0074568877295178</v>
      </c>
    </row>
    <row r="59" customFormat="false" ht="15" hidden="false" customHeight="false" outlineLevel="0" collapsed="false">
      <c r="A59" s="247" t="s">
        <v>5920</v>
      </c>
      <c r="B59" s="247" t="s">
        <v>5915</v>
      </c>
      <c r="C59" s="247" t="s">
        <v>5919</v>
      </c>
      <c r="D59" s="248" t="n">
        <v>0.223073790680199</v>
      </c>
      <c r="E59" s="248" t="n">
        <v>0.0074568877295178</v>
      </c>
    </row>
    <row r="60" customFormat="false" ht="15" hidden="false" customHeight="false" outlineLevel="0" collapsed="false">
      <c r="A60" s="247" t="s">
        <v>5914</v>
      </c>
      <c r="B60" s="247" t="s">
        <v>5919</v>
      </c>
      <c r="C60" s="247" t="s">
        <v>5920</v>
      </c>
      <c r="D60" s="248" t="n">
        <v>0.223073790680203</v>
      </c>
      <c r="E60" s="248" t="n">
        <v>0.0074568877295178</v>
      </c>
    </row>
    <row r="61" customFormat="false" ht="15" hidden="false" customHeight="false" outlineLevel="0" collapsed="false">
      <c r="A61" s="247" t="s">
        <v>5914</v>
      </c>
      <c r="B61" s="247" t="s">
        <v>5919</v>
      </c>
      <c r="C61" s="247" t="s">
        <v>5921</v>
      </c>
      <c r="D61" s="248" t="n">
        <v>0.235627804592825</v>
      </c>
      <c r="E61" s="248" t="n">
        <v>0.00444759506353876</v>
      </c>
    </row>
    <row r="62" customFormat="false" ht="15" hidden="false" customHeight="false" outlineLevel="0" collapsed="false">
      <c r="A62" s="247" t="s">
        <v>5914</v>
      </c>
      <c r="B62" s="247" t="s">
        <v>5919</v>
      </c>
      <c r="C62" s="247" t="s">
        <v>5922</v>
      </c>
      <c r="D62" s="248" t="n">
        <v>0.223073790680203</v>
      </c>
      <c r="E62" s="248" t="n">
        <v>0.0074568877295178</v>
      </c>
    </row>
    <row r="63" customFormat="false" ht="15" hidden="false" customHeight="false" outlineLevel="0" collapsed="false">
      <c r="A63" s="247" t="s">
        <v>5914</v>
      </c>
      <c r="B63" s="247" t="s">
        <v>5919</v>
      </c>
      <c r="C63" s="247" t="s">
        <v>5923</v>
      </c>
      <c r="D63" s="248" t="n">
        <v>0.223073790680203</v>
      </c>
      <c r="E63" s="248" t="n">
        <v>0.0074568877295178</v>
      </c>
    </row>
    <row r="64" customFormat="false" ht="15" hidden="false" customHeight="false" outlineLevel="0" collapsed="false">
      <c r="A64" s="247" t="s">
        <v>5914</v>
      </c>
      <c r="B64" s="247" t="s">
        <v>5917</v>
      </c>
      <c r="C64" s="247" t="s">
        <v>5924</v>
      </c>
      <c r="D64" s="248" t="n">
        <v>0.22309598185183</v>
      </c>
      <c r="E64" s="248" t="n">
        <v>0.00745156833738747</v>
      </c>
    </row>
    <row r="65" customFormat="false" ht="15" hidden="false" customHeight="false" outlineLevel="0" collapsed="false">
      <c r="A65" s="247" t="s">
        <v>5914</v>
      </c>
      <c r="B65" s="247" t="s">
        <v>5917</v>
      </c>
      <c r="C65" s="247" t="s">
        <v>5925</v>
      </c>
      <c r="D65" s="248" t="n">
        <v>0.224279140138838</v>
      </c>
      <c r="E65" s="248" t="n">
        <v>0.00716795629170974</v>
      </c>
    </row>
    <row r="66" customFormat="false" ht="15" hidden="false" customHeight="false" outlineLevel="0" collapsed="false">
      <c r="A66" s="247" t="s">
        <v>5914</v>
      </c>
      <c r="B66" s="247" t="s">
        <v>5924</v>
      </c>
      <c r="C66" s="247" t="s">
        <v>5917</v>
      </c>
      <c r="D66" s="248" t="n">
        <v>0.22309598185183</v>
      </c>
      <c r="E66" s="248" t="n">
        <v>0.00745156833738747</v>
      </c>
    </row>
    <row r="67" customFormat="false" ht="15" hidden="false" customHeight="false" outlineLevel="0" collapsed="false">
      <c r="A67" s="247" t="s">
        <v>5914</v>
      </c>
      <c r="B67" s="247" t="s">
        <v>5924</v>
      </c>
      <c r="C67" s="247" t="s">
        <v>5918</v>
      </c>
      <c r="D67" s="248" t="n">
        <v>0.223073790680203</v>
      </c>
      <c r="E67" s="248" t="n">
        <v>0.0074568877295178</v>
      </c>
    </row>
    <row r="68" customFormat="false" ht="15" hidden="false" customHeight="false" outlineLevel="0" collapsed="false">
      <c r="A68" s="247" t="s">
        <v>5914</v>
      </c>
      <c r="B68" s="247" t="s">
        <v>5918</v>
      </c>
      <c r="C68" s="247" t="s">
        <v>5924</v>
      </c>
      <c r="D68" s="248" t="n">
        <v>0.223073790680203</v>
      </c>
      <c r="E68" s="248" t="n">
        <v>0.0074568877295178</v>
      </c>
    </row>
    <row r="69" customFormat="false" ht="15" hidden="false" customHeight="false" outlineLevel="0" collapsed="false">
      <c r="A69" s="247" t="s">
        <v>5914</v>
      </c>
      <c r="B69" s="247" t="s">
        <v>5918</v>
      </c>
      <c r="C69" s="247" t="s">
        <v>5925</v>
      </c>
      <c r="D69" s="248" t="n">
        <v>0.224258606604811</v>
      </c>
      <c r="E69" s="248" t="n">
        <v>0.00717287833617775</v>
      </c>
    </row>
    <row r="70" customFormat="false" ht="15" hidden="false" customHeight="false" outlineLevel="0" collapsed="false">
      <c r="A70" s="247" t="s">
        <v>5914</v>
      </c>
      <c r="B70" s="247" t="s">
        <v>5920</v>
      </c>
      <c r="C70" s="247" t="s">
        <v>5919</v>
      </c>
      <c r="D70" s="248" t="n">
        <v>0.223073790680203</v>
      </c>
      <c r="E70" s="248" t="n">
        <v>0.0074568877295178</v>
      </c>
    </row>
    <row r="71" customFormat="false" ht="15" hidden="false" customHeight="false" outlineLevel="0" collapsed="false">
      <c r="A71" s="247" t="s">
        <v>5914</v>
      </c>
      <c r="B71" s="247" t="s">
        <v>5921</v>
      </c>
      <c r="C71" s="247" t="s">
        <v>5919</v>
      </c>
      <c r="D71" s="248" t="n">
        <v>0.235627804592825</v>
      </c>
      <c r="E71" s="248" t="n">
        <v>0.00444759506353876</v>
      </c>
    </row>
    <row r="72" customFormat="false" ht="15" hidden="false" customHeight="false" outlineLevel="0" collapsed="false">
      <c r="A72" s="247" t="s">
        <v>5914</v>
      </c>
      <c r="B72" s="247" t="s">
        <v>5922</v>
      </c>
      <c r="C72" s="247" t="s">
        <v>5919</v>
      </c>
      <c r="D72" s="248" t="n">
        <v>0.223073790680203</v>
      </c>
      <c r="E72" s="248" t="n">
        <v>0.0074568877295178</v>
      </c>
    </row>
    <row r="73" customFormat="false" ht="15" hidden="false" customHeight="false" outlineLevel="0" collapsed="false">
      <c r="A73" s="247" t="s">
        <v>5914</v>
      </c>
      <c r="B73" s="247" t="s">
        <v>5926</v>
      </c>
      <c r="C73" s="247" t="s">
        <v>5927</v>
      </c>
      <c r="D73" s="248" t="n">
        <v>0.223050958518414</v>
      </c>
      <c r="E73" s="248" t="n">
        <v>0.00746236077407048</v>
      </c>
    </row>
    <row r="74" customFormat="false" ht="15" hidden="false" customHeight="false" outlineLevel="0" collapsed="false">
      <c r="A74" s="247" t="s">
        <v>5914</v>
      </c>
      <c r="B74" s="247" t="s">
        <v>5926</v>
      </c>
      <c r="C74" s="247" t="s">
        <v>5928</v>
      </c>
      <c r="D74" s="248" t="n">
        <v>0.223050958518414</v>
      </c>
      <c r="E74" s="248" t="n">
        <v>0.00746236077407048</v>
      </c>
    </row>
    <row r="75" customFormat="false" ht="15" hidden="false" customHeight="false" outlineLevel="0" collapsed="false">
      <c r="A75" s="247" t="s">
        <v>5914</v>
      </c>
      <c r="B75" s="247" t="s">
        <v>5925</v>
      </c>
      <c r="C75" s="247" t="s">
        <v>5917</v>
      </c>
      <c r="D75" s="248" t="n">
        <v>0.224279140138838</v>
      </c>
      <c r="E75" s="248" t="n">
        <v>0.00716795629170974</v>
      </c>
    </row>
    <row r="76" customFormat="false" ht="15" hidden="false" customHeight="false" outlineLevel="0" collapsed="false">
      <c r="A76" s="247" t="s">
        <v>5914</v>
      </c>
      <c r="B76" s="247" t="s">
        <v>5925</v>
      </c>
      <c r="C76" s="247" t="s">
        <v>5918</v>
      </c>
      <c r="D76" s="248" t="n">
        <v>0.224258606604811</v>
      </c>
      <c r="E76" s="248" t="n">
        <v>0.00717287833617775</v>
      </c>
    </row>
    <row r="77" customFormat="false" ht="15" hidden="false" customHeight="false" outlineLevel="0" collapsed="false">
      <c r="A77" s="247" t="s">
        <v>5914</v>
      </c>
      <c r="B77" s="247" t="s">
        <v>5927</v>
      </c>
      <c r="C77" s="247" t="s">
        <v>5926</v>
      </c>
      <c r="D77" s="248" t="n">
        <v>0.223050958518414</v>
      </c>
      <c r="E77" s="248" t="n">
        <v>0.00746236077407048</v>
      </c>
    </row>
    <row r="78" customFormat="false" ht="15" hidden="false" customHeight="false" outlineLevel="0" collapsed="false">
      <c r="A78" s="247" t="s">
        <v>5914</v>
      </c>
      <c r="B78" s="247" t="s">
        <v>5928</v>
      </c>
      <c r="C78" s="247" t="s">
        <v>5926</v>
      </c>
      <c r="D78" s="248" t="n">
        <v>0.223050958518414</v>
      </c>
      <c r="E78" s="248" t="n">
        <v>0.00746236077407048</v>
      </c>
    </row>
    <row r="79" customFormat="false" ht="15" hidden="false" customHeight="false" outlineLevel="0" collapsed="false">
      <c r="A79" s="247" t="s">
        <v>5914</v>
      </c>
      <c r="B79" s="247" t="s">
        <v>5923</v>
      </c>
      <c r="C79" s="247" t="s">
        <v>5919</v>
      </c>
      <c r="D79" s="248" t="n">
        <v>0.223073790680203</v>
      </c>
      <c r="E79" s="248" t="n">
        <v>0.0074568877295178</v>
      </c>
    </row>
    <row r="80" customFormat="false" ht="15" hidden="false" customHeight="false" outlineLevel="0" collapsed="false">
      <c r="A80" s="247" t="s">
        <v>5921</v>
      </c>
      <c r="B80" s="247" t="s">
        <v>5919</v>
      </c>
      <c r="C80" s="247" t="s">
        <v>5914</v>
      </c>
      <c r="D80" s="248" t="n">
        <v>0.235627804592825</v>
      </c>
      <c r="E80" s="248" t="n">
        <v>0.00444759506353876</v>
      </c>
    </row>
    <row r="81" customFormat="false" ht="15" hidden="false" customHeight="false" outlineLevel="0" collapsed="false">
      <c r="A81" s="247" t="s">
        <v>5921</v>
      </c>
      <c r="B81" s="247" t="s">
        <v>5919</v>
      </c>
      <c r="C81" s="247" t="s">
        <v>5915</v>
      </c>
      <c r="D81" s="248" t="n">
        <v>0.23562780458048</v>
      </c>
      <c r="E81" s="248" t="n">
        <v>0.00444759506331138</v>
      </c>
    </row>
    <row r="82" customFormat="false" ht="15" hidden="false" customHeight="false" outlineLevel="0" collapsed="false">
      <c r="A82" s="247" t="s">
        <v>5921</v>
      </c>
      <c r="B82" s="247" t="s">
        <v>5914</v>
      </c>
      <c r="C82" s="247" t="s">
        <v>5919</v>
      </c>
      <c r="D82" s="248" t="n">
        <v>0.235627804592825</v>
      </c>
      <c r="E82" s="248" t="n">
        <v>0.00444759506353876</v>
      </c>
    </row>
    <row r="83" customFormat="false" ht="15" hidden="false" customHeight="false" outlineLevel="0" collapsed="false">
      <c r="A83" s="247" t="s">
        <v>5921</v>
      </c>
      <c r="B83" s="247" t="s">
        <v>5915</v>
      </c>
      <c r="C83" s="247" t="s">
        <v>5919</v>
      </c>
      <c r="D83" s="248" t="n">
        <v>0.23562780458048</v>
      </c>
      <c r="E83" s="248" t="n">
        <v>0.00444759506331138</v>
      </c>
    </row>
    <row r="84" customFormat="false" ht="15" hidden="false" customHeight="false" outlineLevel="0" collapsed="false">
      <c r="A84" s="247" t="s">
        <v>5922</v>
      </c>
      <c r="B84" s="247" t="s">
        <v>5919</v>
      </c>
      <c r="C84" s="247" t="s">
        <v>5914</v>
      </c>
      <c r="D84" s="248" t="n">
        <v>0.223073790680203</v>
      </c>
      <c r="E84" s="248" t="n">
        <v>0.0074568877295178</v>
      </c>
    </row>
    <row r="85" customFormat="false" ht="15" hidden="false" customHeight="false" outlineLevel="0" collapsed="false">
      <c r="A85" s="247" t="s">
        <v>5922</v>
      </c>
      <c r="B85" s="247" t="s">
        <v>5919</v>
      </c>
      <c r="C85" s="247" t="s">
        <v>5915</v>
      </c>
      <c r="D85" s="248" t="n">
        <v>0.223073790680199</v>
      </c>
      <c r="E85" s="248" t="n">
        <v>0.0074568877295178</v>
      </c>
    </row>
    <row r="86" customFormat="false" ht="15" hidden="false" customHeight="false" outlineLevel="0" collapsed="false">
      <c r="A86" s="247" t="s">
        <v>5922</v>
      </c>
      <c r="B86" s="247" t="s">
        <v>5914</v>
      </c>
      <c r="C86" s="247" t="s">
        <v>5919</v>
      </c>
      <c r="D86" s="248" t="n">
        <v>0.223073790680203</v>
      </c>
      <c r="E86" s="248" t="n">
        <v>0.0074568877295178</v>
      </c>
    </row>
    <row r="87" customFormat="false" ht="15" hidden="false" customHeight="false" outlineLevel="0" collapsed="false">
      <c r="A87" s="247" t="s">
        <v>5922</v>
      </c>
      <c r="B87" s="247" t="s">
        <v>5915</v>
      </c>
      <c r="C87" s="247" t="s">
        <v>5919</v>
      </c>
      <c r="D87" s="248" t="n">
        <v>0.223073790680199</v>
      </c>
      <c r="E87" s="248" t="n">
        <v>0.0074568877295178</v>
      </c>
    </row>
    <row r="88" customFormat="false" ht="15" hidden="false" customHeight="false" outlineLevel="0" collapsed="false">
      <c r="A88" s="247" t="s">
        <v>5926</v>
      </c>
      <c r="B88" s="247" t="s">
        <v>5914</v>
      </c>
      <c r="C88" s="247" t="s">
        <v>5927</v>
      </c>
      <c r="D88" s="248" t="n">
        <v>0.223050958518414</v>
      </c>
      <c r="E88" s="248" t="n">
        <v>0.00746236077407048</v>
      </c>
    </row>
    <row r="89" customFormat="false" ht="15" hidden="false" customHeight="false" outlineLevel="0" collapsed="false">
      <c r="A89" s="247" t="s">
        <v>5926</v>
      </c>
      <c r="B89" s="247" t="s">
        <v>5914</v>
      </c>
      <c r="C89" s="247" t="s">
        <v>5928</v>
      </c>
      <c r="D89" s="248" t="n">
        <v>0.223050958518414</v>
      </c>
      <c r="E89" s="248" t="n">
        <v>0.00746236077407048</v>
      </c>
    </row>
    <row r="90" customFormat="false" ht="15" hidden="false" customHeight="false" outlineLevel="0" collapsed="false">
      <c r="A90" s="247" t="s">
        <v>5926</v>
      </c>
      <c r="B90" s="247" t="s">
        <v>5915</v>
      </c>
      <c r="C90" s="247" t="s">
        <v>5927</v>
      </c>
      <c r="D90" s="248" t="n">
        <v>0.223050958511562</v>
      </c>
      <c r="E90" s="248" t="n">
        <v>0.0074623607738431</v>
      </c>
    </row>
    <row r="91" customFormat="false" ht="15" hidden="false" customHeight="false" outlineLevel="0" collapsed="false">
      <c r="A91" s="247" t="s">
        <v>5926</v>
      </c>
      <c r="B91" s="247" t="s">
        <v>5915</v>
      </c>
      <c r="C91" s="247" t="s">
        <v>5928</v>
      </c>
      <c r="D91" s="248" t="n">
        <v>0.223050958511562</v>
      </c>
      <c r="E91" s="248" t="n">
        <v>0.0074623607738431</v>
      </c>
    </row>
    <row r="92" customFormat="false" ht="15" hidden="false" customHeight="false" outlineLevel="0" collapsed="false">
      <c r="A92" s="247" t="s">
        <v>5926</v>
      </c>
      <c r="B92" s="247" t="s">
        <v>5927</v>
      </c>
      <c r="C92" s="247" t="s">
        <v>5914</v>
      </c>
      <c r="D92" s="248" t="n">
        <v>0.223050958518414</v>
      </c>
      <c r="E92" s="248" t="n">
        <v>0.00746236077407048</v>
      </c>
    </row>
    <row r="93" customFormat="false" ht="15" hidden="false" customHeight="false" outlineLevel="0" collapsed="false">
      <c r="A93" s="247" t="s">
        <v>5926</v>
      </c>
      <c r="B93" s="247" t="s">
        <v>5927</v>
      </c>
      <c r="C93" s="247" t="s">
        <v>5915</v>
      </c>
      <c r="D93" s="248" t="n">
        <v>0.223050958511562</v>
      </c>
      <c r="E93" s="248" t="n">
        <v>0.0074623607738431</v>
      </c>
    </row>
    <row r="94" customFormat="false" ht="15" hidden="false" customHeight="false" outlineLevel="0" collapsed="false">
      <c r="A94" s="247" t="s">
        <v>5926</v>
      </c>
      <c r="B94" s="247" t="s">
        <v>5928</v>
      </c>
      <c r="C94" s="247" t="s">
        <v>5914</v>
      </c>
      <c r="D94" s="248" t="n">
        <v>0.223050958518414</v>
      </c>
      <c r="E94" s="248" t="n">
        <v>0.00746236077407048</v>
      </c>
    </row>
    <row r="95" customFormat="false" ht="15" hidden="false" customHeight="false" outlineLevel="0" collapsed="false">
      <c r="A95" s="247" t="s">
        <v>5926</v>
      </c>
      <c r="B95" s="247" t="s">
        <v>5928</v>
      </c>
      <c r="C95" s="247" t="s">
        <v>5915</v>
      </c>
      <c r="D95" s="248" t="n">
        <v>0.223050958511562</v>
      </c>
      <c r="E95" s="248" t="n">
        <v>0.0074623607738431</v>
      </c>
    </row>
    <row r="96" customFormat="false" ht="15" hidden="false" customHeight="false" outlineLevel="0" collapsed="false">
      <c r="A96" s="247" t="s">
        <v>5915</v>
      </c>
      <c r="B96" s="247" t="s">
        <v>5919</v>
      </c>
      <c r="C96" s="247" t="s">
        <v>5920</v>
      </c>
      <c r="D96" s="248" t="n">
        <v>0.223073790680199</v>
      </c>
      <c r="E96" s="248" t="n">
        <v>0.0074568877295178</v>
      </c>
    </row>
    <row r="97" customFormat="false" ht="15" hidden="false" customHeight="false" outlineLevel="0" collapsed="false">
      <c r="A97" s="247" t="s">
        <v>5915</v>
      </c>
      <c r="B97" s="247" t="s">
        <v>5919</v>
      </c>
      <c r="C97" s="247" t="s">
        <v>5921</v>
      </c>
      <c r="D97" s="248" t="n">
        <v>0.23562780458048</v>
      </c>
      <c r="E97" s="248" t="n">
        <v>0.00444759506331138</v>
      </c>
    </row>
    <row r="98" customFormat="false" ht="15" hidden="false" customHeight="false" outlineLevel="0" collapsed="false">
      <c r="A98" s="247" t="s">
        <v>5915</v>
      </c>
      <c r="B98" s="247" t="s">
        <v>5919</v>
      </c>
      <c r="C98" s="247" t="s">
        <v>5922</v>
      </c>
      <c r="D98" s="248" t="n">
        <v>0.223073790680199</v>
      </c>
      <c r="E98" s="248" t="n">
        <v>0.0074568877295178</v>
      </c>
    </row>
    <row r="99" customFormat="false" ht="15" hidden="false" customHeight="false" outlineLevel="0" collapsed="false">
      <c r="A99" s="247" t="s">
        <v>5915</v>
      </c>
      <c r="B99" s="247" t="s">
        <v>5919</v>
      </c>
      <c r="C99" s="247" t="s">
        <v>5923</v>
      </c>
      <c r="D99" s="248" t="n">
        <v>0.223073790680203</v>
      </c>
      <c r="E99" s="248" t="n">
        <v>0.0074568877295178</v>
      </c>
    </row>
    <row r="100" customFormat="false" ht="15" hidden="false" customHeight="false" outlineLevel="0" collapsed="false">
      <c r="A100" s="247" t="s">
        <v>5915</v>
      </c>
      <c r="B100" s="247" t="s">
        <v>5917</v>
      </c>
      <c r="C100" s="247" t="s">
        <v>5924</v>
      </c>
      <c r="D100" s="248" t="n">
        <v>0.223095981851826</v>
      </c>
      <c r="E100" s="248" t="n">
        <v>0.00745156833738747</v>
      </c>
    </row>
    <row r="101" customFormat="false" ht="15" hidden="false" customHeight="false" outlineLevel="0" collapsed="false">
      <c r="A101" s="247" t="s">
        <v>5915</v>
      </c>
      <c r="B101" s="247" t="s">
        <v>5917</v>
      </c>
      <c r="C101" s="247" t="s">
        <v>5925</v>
      </c>
      <c r="D101" s="248" t="n">
        <v>0.224279140138847</v>
      </c>
      <c r="E101" s="248" t="n">
        <v>0.00716795629170974</v>
      </c>
    </row>
    <row r="102" customFormat="false" ht="15" hidden="false" customHeight="false" outlineLevel="0" collapsed="false">
      <c r="A102" s="247" t="s">
        <v>5915</v>
      </c>
      <c r="B102" s="247" t="s">
        <v>5924</v>
      </c>
      <c r="C102" s="247" t="s">
        <v>5917</v>
      </c>
      <c r="D102" s="248" t="n">
        <v>0.223095981851826</v>
      </c>
      <c r="E102" s="248" t="n">
        <v>0.00745156833738747</v>
      </c>
    </row>
    <row r="103" customFormat="false" ht="15" hidden="false" customHeight="false" outlineLevel="0" collapsed="false">
      <c r="A103" s="247" t="s">
        <v>5915</v>
      </c>
      <c r="B103" s="247" t="s">
        <v>5924</v>
      </c>
      <c r="C103" s="247" t="s">
        <v>5918</v>
      </c>
      <c r="D103" s="248" t="n">
        <v>0.223073790680199</v>
      </c>
      <c r="E103" s="248" t="n">
        <v>0.0074568877295178</v>
      </c>
    </row>
    <row r="104" customFormat="false" ht="15" hidden="false" customHeight="false" outlineLevel="0" collapsed="false">
      <c r="A104" s="247" t="s">
        <v>5915</v>
      </c>
      <c r="B104" s="247" t="s">
        <v>5918</v>
      </c>
      <c r="C104" s="247" t="s">
        <v>5924</v>
      </c>
      <c r="D104" s="248" t="n">
        <v>0.223073790680199</v>
      </c>
      <c r="E104" s="248" t="n">
        <v>0.0074568877295178</v>
      </c>
    </row>
    <row r="105" customFormat="false" ht="15" hidden="false" customHeight="false" outlineLevel="0" collapsed="false">
      <c r="A105" s="247" t="s">
        <v>5915</v>
      </c>
      <c r="B105" s="247" t="s">
        <v>5918</v>
      </c>
      <c r="C105" s="247" t="s">
        <v>5925</v>
      </c>
      <c r="D105" s="248" t="n">
        <v>0.224258606604811</v>
      </c>
      <c r="E105" s="248" t="n">
        <v>0.00717287833617775</v>
      </c>
    </row>
    <row r="106" customFormat="false" ht="15" hidden="false" customHeight="false" outlineLevel="0" collapsed="false">
      <c r="A106" s="247" t="s">
        <v>5915</v>
      </c>
      <c r="B106" s="247" t="s">
        <v>5920</v>
      </c>
      <c r="C106" s="247" t="s">
        <v>5919</v>
      </c>
      <c r="D106" s="248" t="n">
        <v>0.223073790680199</v>
      </c>
      <c r="E106" s="248" t="n">
        <v>0.0074568877295178</v>
      </c>
    </row>
    <row r="107" customFormat="false" ht="15" hidden="false" customHeight="false" outlineLevel="0" collapsed="false">
      <c r="A107" s="247" t="s">
        <v>5915</v>
      </c>
      <c r="B107" s="247" t="s">
        <v>5921</v>
      </c>
      <c r="C107" s="247" t="s">
        <v>5919</v>
      </c>
      <c r="D107" s="248" t="n">
        <v>0.23562780458048</v>
      </c>
      <c r="E107" s="248" t="n">
        <v>0.00444759506331138</v>
      </c>
    </row>
    <row r="108" customFormat="false" ht="15" hidden="false" customHeight="false" outlineLevel="0" collapsed="false">
      <c r="A108" s="247" t="s">
        <v>5915</v>
      </c>
      <c r="B108" s="247" t="s">
        <v>5922</v>
      </c>
      <c r="C108" s="247" t="s">
        <v>5919</v>
      </c>
      <c r="D108" s="248" t="n">
        <v>0.223073790680199</v>
      </c>
      <c r="E108" s="248" t="n">
        <v>0.0074568877295178</v>
      </c>
    </row>
    <row r="109" customFormat="false" ht="15" hidden="false" customHeight="false" outlineLevel="0" collapsed="false">
      <c r="A109" s="247" t="s">
        <v>5915</v>
      </c>
      <c r="B109" s="247" t="s">
        <v>5926</v>
      </c>
      <c r="C109" s="247" t="s">
        <v>5927</v>
      </c>
      <c r="D109" s="248" t="n">
        <v>0.223050958511562</v>
      </c>
      <c r="E109" s="248" t="n">
        <v>0.0074623607738431</v>
      </c>
    </row>
    <row r="110" customFormat="false" ht="15" hidden="false" customHeight="false" outlineLevel="0" collapsed="false">
      <c r="A110" s="247" t="s">
        <v>5915</v>
      </c>
      <c r="B110" s="247" t="s">
        <v>5926</v>
      </c>
      <c r="C110" s="247" t="s">
        <v>5928</v>
      </c>
      <c r="D110" s="248" t="n">
        <v>0.223050958511562</v>
      </c>
      <c r="E110" s="248" t="n">
        <v>0.0074623607738431</v>
      </c>
    </row>
    <row r="111" customFormat="false" ht="15" hidden="false" customHeight="false" outlineLevel="0" collapsed="false">
      <c r="A111" s="247" t="s">
        <v>5915</v>
      </c>
      <c r="B111" s="247" t="s">
        <v>5925</v>
      </c>
      <c r="C111" s="247" t="s">
        <v>5917</v>
      </c>
      <c r="D111" s="248" t="n">
        <v>0.224279140138847</v>
      </c>
      <c r="E111" s="248" t="n">
        <v>0.00716795629170974</v>
      </c>
    </row>
    <row r="112" customFormat="false" ht="15" hidden="false" customHeight="false" outlineLevel="0" collapsed="false">
      <c r="A112" s="247" t="s">
        <v>5915</v>
      </c>
      <c r="B112" s="247" t="s">
        <v>5925</v>
      </c>
      <c r="C112" s="247" t="s">
        <v>5918</v>
      </c>
      <c r="D112" s="248" t="n">
        <v>0.224258606604811</v>
      </c>
      <c r="E112" s="248" t="n">
        <v>0.00717287833617775</v>
      </c>
    </row>
    <row r="113" customFormat="false" ht="15" hidden="false" customHeight="false" outlineLevel="0" collapsed="false">
      <c r="A113" s="247" t="s">
        <v>5915</v>
      </c>
      <c r="B113" s="247" t="s">
        <v>5927</v>
      </c>
      <c r="C113" s="247" t="s">
        <v>5926</v>
      </c>
      <c r="D113" s="248" t="n">
        <v>0.223050958511562</v>
      </c>
      <c r="E113" s="248" t="n">
        <v>0.0074623607738431</v>
      </c>
    </row>
    <row r="114" customFormat="false" ht="15" hidden="false" customHeight="false" outlineLevel="0" collapsed="false">
      <c r="A114" s="247" t="s">
        <v>5915</v>
      </c>
      <c r="B114" s="247" t="s">
        <v>5928</v>
      </c>
      <c r="C114" s="247" t="s">
        <v>5926</v>
      </c>
      <c r="D114" s="248" t="n">
        <v>0.223050958511562</v>
      </c>
      <c r="E114" s="248" t="n">
        <v>0.0074623607738431</v>
      </c>
    </row>
    <row r="115" customFormat="false" ht="15" hidden="false" customHeight="false" outlineLevel="0" collapsed="false">
      <c r="A115" s="247" t="s">
        <v>5915</v>
      </c>
      <c r="B115" s="247" t="s">
        <v>5923</v>
      </c>
      <c r="C115" s="247" t="s">
        <v>5919</v>
      </c>
      <c r="D115" s="248" t="n">
        <v>0.223073790680203</v>
      </c>
      <c r="E115" s="248" t="n">
        <v>0.0074568877295178</v>
      </c>
    </row>
    <row r="116" customFormat="false" ht="15" hidden="false" customHeight="false" outlineLevel="0" collapsed="false">
      <c r="A116" s="247" t="s">
        <v>5925</v>
      </c>
      <c r="B116" s="247" t="s">
        <v>5917</v>
      </c>
      <c r="C116" s="247" t="s">
        <v>5914</v>
      </c>
      <c r="D116" s="248" t="n">
        <v>0.224279140138838</v>
      </c>
      <c r="E116" s="248" t="n">
        <v>0.00716795629170974</v>
      </c>
    </row>
    <row r="117" customFormat="false" ht="15" hidden="false" customHeight="false" outlineLevel="0" collapsed="false">
      <c r="A117" s="247" t="s">
        <v>5925</v>
      </c>
      <c r="B117" s="247" t="s">
        <v>5917</v>
      </c>
      <c r="C117" s="247" t="s">
        <v>5915</v>
      </c>
      <c r="D117" s="248" t="n">
        <v>0.224279140138847</v>
      </c>
      <c r="E117" s="248" t="n">
        <v>0.00716795629170974</v>
      </c>
    </row>
    <row r="118" customFormat="false" ht="15" hidden="false" customHeight="false" outlineLevel="0" collapsed="false">
      <c r="A118" s="247" t="s">
        <v>5925</v>
      </c>
      <c r="B118" s="247" t="s">
        <v>5918</v>
      </c>
      <c r="C118" s="247" t="s">
        <v>5914</v>
      </c>
      <c r="D118" s="248" t="n">
        <v>0.224258606604811</v>
      </c>
      <c r="E118" s="248" t="n">
        <v>0.00717287833617775</v>
      </c>
    </row>
    <row r="119" customFormat="false" ht="15" hidden="false" customHeight="false" outlineLevel="0" collapsed="false">
      <c r="A119" s="247" t="s">
        <v>5925</v>
      </c>
      <c r="B119" s="247" t="s">
        <v>5918</v>
      </c>
      <c r="C119" s="247" t="s">
        <v>5915</v>
      </c>
      <c r="D119" s="248" t="n">
        <v>0.224258606604811</v>
      </c>
      <c r="E119" s="248" t="n">
        <v>0.00717287833617775</v>
      </c>
    </row>
    <row r="120" customFormat="false" ht="15" hidden="false" customHeight="false" outlineLevel="0" collapsed="false">
      <c r="A120" s="247" t="s">
        <v>5925</v>
      </c>
      <c r="B120" s="247" t="s">
        <v>5914</v>
      </c>
      <c r="C120" s="247" t="s">
        <v>5917</v>
      </c>
      <c r="D120" s="248" t="n">
        <v>0.224279140138838</v>
      </c>
      <c r="E120" s="248" t="n">
        <v>0.00716795629170974</v>
      </c>
    </row>
    <row r="121" customFormat="false" ht="15" hidden="false" customHeight="false" outlineLevel="0" collapsed="false">
      <c r="A121" s="247" t="s">
        <v>5925</v>
      </c>
      <c r="B121" s="247" t="s">
        <v>5914</v>
      </c>
      <c r="C121" s="247" t="s">
        <v>5918</v>
      </c>
      <c r="D121" s="248" t="n">
        <v>0.224258606604811</v>
      </c>
      <c r="E121" s="248" t="n">
        <v>0.00717287833617775</v>
      </c>
    </row>
    <row r="122" customFormat="false" ht="15" hidden="false" customHeight="false" outlineLevel="0" collapsed="false">
      <c r="A122" s="247" t="s">
        <v>5925</v>
      </c>
      <c r="B122" s="247" t="s">
        <v>5915</v>
      </c>
      <c r="C122" s="247" t="s">
        <v>5917</v>
      </c>
      <c r="D122" s="248" t="n">
        <v>0.224279140138847</v>
      </c>
      <c r="E122" s="248" t="n">
        <v>0.00716795629170974</v>
      </c>
    </row>
    <row r="123" customFormat="false" ht="15" hidden="false" customHeight="false" outlineLevel="0" collapsed="false">
      <c r="A123" s="247" t="s">
        <v>5925</v>
      </c>
      <c r="B123" s="247" t="s">
        <v>5915</v>
      </c>
      <c r="C123" s="247" t="s">
        <v>5918</v>
      </c>
      <c r="D123" s="248" t="n">
        <v>0.224258606604811</v>
      </c>
      <c r="E123" s="248" t="n">
        <v>0.00717287833617775</v>
      </c>
    </row>
    <row r="124" customFormat="false" ht="15" hidden="false" customHeight="false" outlineLevel="0" collapsed="false">
      <c r="A124" s="247" t="s">
        <v>5927</v>
      </c>
      <c r="B124" s="247" t="s">
        <v>5914</v>
      </c>
      <c r="C124" s="247" t="s">
        <v>5926</v>
      </c>
      <c r="D124" s="248" t="n">
        <v>0.223050958518414</v>
      </c>
      <c r="E124" s="248" t="n">
        <v>0.00746236077407048</v>
      </c>
    </row>
    <row r="125" customFormat="false" ht="15" hidden="false" customHeight="false" outlineLevel="0" collapsed="false">
      <c r="A125" s="247" t="s">
        <v>5927</v>
      </c>
      <c r="B125" s="247" t="s">
        <v>5926</v>
      </c>
      <c r="C125" s="247" t="s">
        <v>5914</v>
      </c>
      <c r="D125" s="248" t="n">
        <v>0.223050958518414</v>
      </c>
      <c r="E125" s="248" t="n">
        <v>0.00746236077407048</v>
      </c>
    </row>
    <row r="126" customFormat="false" ht="15" hidden="false" customHeight="false" outlineLevel="0" collapsed="false">
      <c r="A126" s="247" t="s">
        <v>5927</v>
      </c>
      <c r="B126" s="247" t="s">
        <v>5926</v>
      </c>
      <c r="C126" s="247" t="s">
        <v>5915</v>
      </c>
      <c r="D126" s="248" t="n">
        <v>0.223050958511562</v>
      </c>
      <c r="E126" s="248" t="n">
        <v>0.0074623607738431</v>
      </c>
    </row>
    <row r="127" customFormat="false" ht="15" hidden="false" customHeight="false" outlineLevel="0" collapsed="false">
      <c r="A127" s="247" t="s">
        <v>5927</v>
      </c>
      <c r="B127" s="247" t="s">
        <v>5915</v>
      </c>
      <c r="C127" s="247" t="s">
        <v>5926</v>
      </c>
      <c r="D127" s="248" t="n">
        <v>0.223050958511562</v>
      </c>
      <c r="E127" s="248" t="n">
        <v>0.0074623607738431</v>
      </c>
    </row>
    <row r="128" customFormat="false" ht="15" hidden="false" customHeight="false" outlineLevel="0" collapsed="false">
      <c r="A128" s="247" t="s">
        <v>5928</v>
      </c>
      <c r="B128" s="247" t="s">
        <v>5914</v>
      </c>
      <c r="C128" s="247" t="s">
        <v>5926</v>
      </c>
      <c r="D128" s="248" t="n">
        <v>0.223050958518414</v>
      </c>
      <c r="E128" s="248" t="n">
        <v>0.00746236077407048</v>
      </c>
    </row>
    <row r="129" customFormat="false" ht="15" hidden="false" customHeight="false" outlineLevel="0" collapsed="false">
      <c r="A129" s="247" t="s">
        <v>5928</v>
      </c>
      <c r="B129" s="247" t="s">
        <v>5926</v>
      </c>
      <c r="C129" s="247" t="s">
        <v>5914</v>
      </c>
      <c r="D129" s="248" t="n">
        <v>0.223050958518414</v>
      </c>
      <c r="E129" s="248" t="n">
        <v>0.00746236077407048</v>
      </c>
    </row>
    <row r="130" customFormat="false" ht="15" hidden="false" customHeight="false" outlineLevel="0" collapsed="false">
      <c r="A130" s="247" t="s">
        <v>5928</v>
      </c>
      <c r="B130" s="247" t="s">
        <v>5926</v>
      </c>
      <c r="C130" s="247" t="s">
        <v>5915</v>
      </c>
      <c r="D130" s="248" t="n">
        <v>0.223050958511562</v>
      </c>
      <c r="E130" s="248" t="n">
        <v>0.0074623607738431</v>
      </c>
    </row>
    <row r="131" customFormat="false" ht="15" hidden="false" customHeight="false" outlineLevel="0" collapsed="false">
      <c r="A131" s="247" t="s">
        <v>5928</v>
      </c>
      <c r="B131" s="247" t="s">
        <v>5915</v>
      </c>
      <c r="C131" s="247" t="s">
        <v>5926</v>
      </c>
      <c r="D131" s="248" t="n">
        <v>0.223050958511562</v>
      </c>
      <c r="E131" s="248" t="n">
        <v>0.0074623607738431</v>
      </c>
    </row>
    <row r="132" customFormat="false" ht="15" hidden="false" customHeight="false" outlineLevel="0" collapsed="false">
      <c r="A132" s="247" t="s">
        <v>5923</v>
      </c>
      <c r="B132" s="247" t="s">
        <v>5919</v>
      </c>
      <c r="C132" s="247" t="s">
        <v>5914</v>
      </c>
      <c r="D132" s="248" t="n">
        <v>0.223073790680203</v>
      </c>
      <c r="E132" s="248" t="n">
        <v>0.0074568877295178</v>
      </c>
    </row>
    <row r="133" customFormat="false" ht="15" hidden="false" customHeight="false" outlineLevel="0" collapsed="false">
      <c r="A133" s="247" t="s">
        <v>5923</v>
      </c>
      <c r="B133" s="247" t="s">
        <v>5919</v>
      </c>
      <c r="C133" s="247" t="s">
        <v>5915</v>
      </c>
      <c r="D133" s="248" t="n">
        <v>0.223073790680203</v>
      </c>
      <c r="E133" s="248" t="n">
        <v>0.0074568877295178</v>
      </c>
    </row>
    <row r="134" customFormat="false" ht="15" hidden="false" customHeight="false" outlineLevel="0" collapsed="false">
      <c r="A134" s="250" t="s">
        <v>5923</v>
      </c>
      <c r="B134" s="250" t="s">
        <v>5914</v>
      </c>
      <c r="C134" s="250" t="s">
        <v>5919</v>
      </c>
      <c r="D134" s="251" t="n">
        <v>0.223073790680203</v>
      </c>
      <c r="E134" s="251" t="n">
        <v>0.0074568877295178</v>
      </c>
    </row>
    <row r="135" customFormat="false" ht="15" hidden="false" customHeight="false" outlineLevel="0" collapsed="false">
      <c r="A135" s="252" t="s">
        <v>5923</v>
      </c>
      <c r="B135" s="252" t="s">
        <v>5915</v>
      </c>
      <c r="C135" s="252" t="s">
        <v>5919</v>
      </c>
      <c r="D135" s="253" t="n">
        <v>0.223073790680203</v>
      </c>
      <c r="E135" s="253" t="n">
        <v>0.0074568877295178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2014-05-09T04:29:43Z</dcterms:created>
  <dc:creator>Miguel</dc:creator>
  <dc:description/>
  <dc:language>zh-CN</dc:language>
  <cp:lastModifiedBy>Miguel Angel Campodonico Alt</cp:lastModifiedBy>
  <dcterms:modified xsi:type="dcterms:W3CDTF">2015-12-06T21:15:24Z</dcterms:modified>
  <cp:revision>0</cp:revision>
  <dc:subject/>
  <dc:title/>
</cp:coreProperties>
</file>